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" sheetId="1" state="visible" r:id="rId3"/>
    <sheet name="Data" sheetId="2" state="visible" r:id="rId4"/>
    <sheet name="Model" sheetId="3" state="visible" r:id="rId5"/>
    <sheet name="Sensitivity" sheetId="4" state="visible" r:id="rId6"/>
    <sheet name="Foreca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<sst xmlns="http://schemas.openxmlformats.org/spreadsheetml/2006/main" count="74" uniqueCount="69">
  <si>
    <t xml:space="preserve">UK electricity - will demand overtake supply by 2040?</t>
  </si>
  <si>
    <t xml:space="preserve">Data: DUKES 'Electricity since 1920' (gov.uk), supply/availability/consumption table, in TWh. Using electricity supplied (net) and total electricity consumed.</t>
  </si>
  <si>
    <t xml:space="preserve">1986/87 is where the series changes basis (see Data tab).</t>
  </si>
  <si>
    <t xml:space="preserve">What I did:</t>
  </si>
  <si>
    <t xml:space="preserve">- straight line fits for supply and consumption from 1965 (Model tab)</t>
  </si>
  <si>
    <t xml:space="preserve">- projected consumption to 2040</t>
  </si>
  <si>
    <t xml:space="preserve">- restarted supply from its trend value in 2021 and worked out how much slower it would have to grow to only just meet 2040 demand</t>
  </si>
  <si>
    <t xml:space="preserve">- Sensitivity tab tries different slowdowns</t>
  </si>
  <si>
    <t xml:space="preserve">- also tried cubic fits but they go silly outside the data so not using them</t>
  </si>
  <si>
    <t xml:space="preserve">Can change the end year on the Model tab - 2022 matches the original project, 2025 uses the newest data.</t>
  </si>
  <si>
    <t xml:space="preserve">Problems: demand has actually been falling since about 2005 so the straight line overestimates it. Imports not counted in supply.</t>
  </si>
  <si>
    <t xml:space="preserve">Year</t>
  </si>
  <si>
    <t xml:space="preserve">t (years since 1965)</t>
  </si>
  <si>
    <t xml:space="preserve">t^2</t>
  </si>
  <si>
    <t xml:space="preserve">t^3</t>
  </si>
  <si>
    <t xml:space="preserve">Electricity supplied (net), TWh</t>
  </si>
  <si>
    <t xml:space="preserve">Total electricity consumed, TWh</t>
  </si>
  <si>
    <t xml:space="preserve">Source: DESNZ, DUKES 'Electricity since 1920', Supply, Availability &amp; Consumption table (TWh), published 30 Jul 2026.</t>
  </si>
  <si>
    <t xml:space="preserve">Series break (DUKES note 7): to 1986 covers major power producers, transport undertakings and industrial hydro/nuclear only; from 1987 all generating companies. 1986 uses the only figure published; 1987 uses the all-generators figure.</t>
  </si>
  <si>
    <t xml:space="preserve">Model</t>
  </si>
  <si>
    <t xml:space="preserve">change the inputs at the top</t>
  </si>
  <si>
    <t xml:space="preserve">Inputs</t>
  </si>
  <si>
    <t xml:space="preserve">Fit window start year</t>
  </si>
  <si>
    <t xml:space="preserve">Data available 1965-2025</t>
  </si>
  <si>
    <t xml:space="preserve">Fit window end year</t>
  </si>
  <si>
    <t xml:space="preserve">2022 = original, 2025 = latest</t>
  </si>
  <si>
    <t xml:space="preserve">Restart year</t>
  </si>
  <si>
    <t xml:space="preserve">Target year</t>
  </si>
  <si>
    <t xml:space="preserve">helper</t>
  </si>
  <si>
    <t xml:space="preserve">First data row for fit</t>
  </si>
  <si>
    <t xml:space="preserve">Number of years in fit</t>
  </si>
  <si>
    <t xml:space="preserve">Linear trend: consumption  (TWh = a + b*t, t = years since 1965)</t>
  </si>
  <si>
    <t xml:space="preserve">Slope b (TWh per year)</t>
  </si>
  <si>
    <t xml:space="preserve">Intercept a (TWh)</t>
  </si>
  <si>
    <t xml:space="preserve">R squared</t>
  </si>
  <si>
    <t xml:space="preserve">Linear trend: supply</t>
  </si>
  <si>
    <t xml:space="preserve">Break-even analysis</t>
  </si>
  <si>
    <t xml:space="preserve">Trend consumption in target year (TWh)</t>
  </si>
  <si>
    <t xml:space="preserve">Trend supply in rebase year (TWh)</t>
  </si>
  <si>
    <t xml:space="preserve">Trend consumption in rebase year (TWh)</t>
  </si>
  <si>
    <t xml:space="preserve">Break-even supply growth after rebase (TWh per year)</t>
  </si>
  <si>
    <t xml:space="preserve">Fitted supply growth (TWh per year)</t>
  </si>
  <si>
    <t xml:space="preserve">Slowdown needed for a gap</t>
  </si>
  <si>
    <t xml:space="preserve">Year the trend lines cross (no slowdown)</t>
  </si>
  <si>
    <t xml:space="preserve">slopes almost the same so this jumps around a lot</t>
  </si>
  <si>
    <t xml:space="preserve">Cubic polynomial comparison (TWh = a + b*t + c*t^2 + d*t^3)</t>
  </si>
  <si>
    <t xml:space="preserve">LINEST coefficients:</t>
  </si>
  <si>
    <t xml:space="preserve">d (t^3)</t>
  </si>
  <si>
    <t xml:space="preserve">c (t^2)</t>
  </si>
  <si>
    <t xml:space="preserve">b (t)</t>
  </si>
  <si>
    <t xml:space="preserve">a</t>
  </si>
  <si>
    <t xml:space="preserve">Consumption: forecast for target year (TWh)</t>
  </si>
  <si>
    <t xml:space="preserve">Consumption</t>
  </si>
  <si>
    <t xml:space="preserve">Supply: forecast for target year (TWh)</t>
  </si>
  <si>
    <t xml:space="preserve">Supply</t>
  </si>
  <si>
    <t xml:space="preserve">Cubic surplus (+) / shortfall (-) in target year (TWh)</t>
  </si>
  <si>
    <t xml:space="preserve">both go negative by 2040 so ignoring these</t>
  </si>
  <si>
    <t xml:space="preserve">Sensitivity: slowdown in supply growth after the rebase year</t>
  </si>
  <si>
    <t xml:space="preserve">Slowdown in supply growth</t>
  </si>
  <si>
    <t xml:space="preserve">Supply growth (TWh/yr)</t>
  </si>
  <si>
    <t xml:space="preserve">Supply in target year (TWh)</t>
  </si>
  <si>
    <t xml:space="preserve">Consumption in target year (TWh)</t>
  </si>
  <si>
    <t xml:space="preserve">Surplus (+) / shortfall (-) (TWh)</t>
  </si>
  <si>
    <t xml:space="preserve">Shortfall?</t>
  </si>
  <si>
    <t xml:space="preserve">Break-even slowdown (Model sheet):</t>
  </si>
  <si>
    <t xml:space="preserve">Actual supplied (TWh)</t>
  </si>
  <si>
    <t xml:space="preserve">Actual consumed (TWh)</t>
  </si>
  <si>
    <t xml:space="preserve">Linear trend: consumption</t>
  </si>
  <si>
    <t xml:space="preserve">Rebased supply at break-even growth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</si>
</sst>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0"/>
    <numFmt numFmtId="167" formatCode="0.0000"/>
    <numFmt numFmtId="168" formatCode="0.000"/>
    <numFmt numFmtId="169" formatCode="0.0%"/>
    <numFmt numFmtId="170" formatCode="0.0"/>
    <numFmt numFmtId="171" formatCode="0.000000"/>
    <numFmt numFmtId="172" formatCode="0.0;\-0.0"/>
    <numFmt numFmtId="173" formatCode="0.00;\-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2040 surplus/shortfall vs supply slowdown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Sensitivity!E4</c:f>
              <c:strCache>
                <c:ptCount val="1"/>
                <c:pt idx="0">
                  <c:v>Surplus (+) / shortfall (-) (TWh)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Sensitivity!$A$5:$A$21</c:f>
              <c:strCache>
                <c:ptCount val="17"/>
                <c:pt idx="0">
                  <c:v>0.0%</c:v>
                </c:pt>
                <c:pt idx="1">
                  <c:v>2.5%</c:v>
                </c:pt>
                <c:pt idx="2">
                  <c:v>5.0%</c:v>
                </c:pt>
                <c:pt idx="3">
                  <c:v>7.5%</c:v>
                </c:pt>
                <c:pt idx="4">
                  <c:v>10.0%</c:v>
                </c:pt>
                <c:pt idx="5">
                  <c:v>12.5%</c:v>
                </c:pt>
                <c:pt idx="6">
                  <c:v>15.0%</c:v>
                </c:pt>
                <c:pt idx="7">
                  <c:v>17.5%</c:v>
                </c:pt>
                <c:pt idx="8">
                  <c:v>20.0%</c:v>
                </c:pt>
                <c:pt idx="9">
                  <c:v>22.5%</c:v>
                </c:pt>
                <c:pt idx="10">
                  <c:v>25.0%</c:v>
                </c:pt>
                <c:pt idx="11">
                  <c:v>27.5%</c:v>
                </c:pt>
                <c:pt idx="12">
                  <c:v>30.0%</c:v>
                </c:pt>
                <c:pt idx="13">
                  <c:v>32.5%</c:v>
                </c:pt>
                <c:pt idx="14">
                  <c:v>35.0%</c:v>
                </c:pt>
                <c:pt idx="15">
                  <c:v>37.5%</c:v>
                </c:pt>
                <c:pt idx="16">
                  <c:v>40.0%</c:v>
                </c:pt>
              </c:strCache>
            </c:strRef>
          </c:cat>
          <c:val>
            <c:numRef>
              <c:f>Sensitivity!$E$5:$E$21</c:f>
              <c:numCache>
                <c:formatCode>0.00;\-0.00</c:formatCode>
                <c:ptCount val="17"/>
                <c:pt idx="0">
                  <c:v>13.6943070226706</c:v>
                </c:pt>
                <c:pt idx="1">
                  <c:v>12.3829132339506</c:v>
                </c:pt>
                <c:pt idx="2">
                  <c:v>11.0715194452305</c:v>
                </c:pt>
                <c:pt idx="3">
                  <c:v>9.76012565651047</c:v>
                </c:pt>
                <c:pt idx="4">
                  <c:v>8.44873186779046</c:v>
                </c:pt>
                <c:pt idx="5">
                  <c:v>7.13733807907039</c:v>
                </c:pt>
                <c:pt idx="6">
                  <c:v>5.82594429035032</c:v>
                </c:pt>
                <c:pt idx="7">
                  <c:v>4.51455050163031</c:v>
                </c:pt>
                <c:pt idx="8">
                  <c:v>3.20315671291024</c:v>
                </c:pt>
                <c:pt idx="9">
                  <c:v>1.89176292419023</c:v>
                </c:pt>
                <c:pt idx="10">
                  <c:v>0.580369135470164</c:v>
                </c:pt>
                <c:pt idx="11">
                  <c:v>-0.731024653249904</c:v>
                </c:pt>
                <c:pt idx="12">
                  <c:v>-2.04241844196991</c:v>
                </c:pt>
                <c:pt idx="13">
                  <c:v>-3.35381223068998</c:v>
                </c:pt>
                <c:pt idx="14">
                  <c:v>-4.66520601940999</c:v>
                </c:pt>
                <c:pt idx="15">
                  <c:v>-5.97659980813006</c:v>
                </c:pt>
                <c:pt idx="16">
                  <c:v>-7.28799359685013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543929"/>
        <c:axId val="85001744"/>
      </c:lineChart>
      <c:catAx>
        <c:axId val="255439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Slowdown in supply growth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01744"/>
        <c:crosses val="autoZero"/>
        <c:auto val="1"/>
        <c:lblAlgn val="ctr"/>
        <c:lblOffset val="100"/>
        <c:noMultiLvlLbl val="0"/>
      </c:catAx>
      <c:valAx>
        <c:axId val="850017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\-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439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UK electricity: actual vs trend to 2040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Forecast!B1</c:f>
              <c:strCache>
                <c:ptCount val="1"/>
                <c:pt idx="0">
                  <c:v>Actual supplied (TWh)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Forecast!$A$2:$A$77</c:f>
              <c:strCache>
                <c:ptCount val="76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  <c:pt idx="60">
                  <c:v>2025</c:v>
                </c:pt>
                <c:pt idx="61">
                  <c:v>2026</c:v>
                </c:pt>
                <c:pt idx="62">
                  <c:v>2027</c:v>
                </c:pt>
                <c:pt idx="63">
                  <c:v>2028</c:v>
                </c:pt>
                <c:pt idx="64">
                  <c:v>2029</c:v>
                </c:pt>
                <c:pt idx="65">
                  <c:v>2030</c:v>
                </c:pt>
                <c:pt idx="66">
                  <c:v>2031</c:v>
                </c:pt>
                <c:pt idx="67">
                  <c:v>2032</c:v>
                </c:pt>
                <c:pt idx="68">
                  <c:v>2033</c:v>
                </c:pt>
                <c:pt idx="69">
                  <c:v>2034</c:v>
                </c:pt>
                <c:pt idx="70">
                  <c:v>2035</c:v>
                </c:pt>
                <c:pt idx="71">
                  <c:v>2036</c:v>
                </c:pt>
                <c:pt idx="72">
                  <c:v>2037</c:v>
                </c:pt>
                <c:pt idx="73">
                  <c:v>2038</c:v>
                </c:pt>
                <c:pt idx="74">
                  <c:v>2039</c:v>
                </c:pt>
                <c:pt idx="75">
                  <c:v>2040</c:v>
                </c:pt>
              </c:strCache>
            </c:strRef>
          </c:cat>
          <c:val>
            <c:numRef>
              <c:f>Forecast!$B$2:$B$77</c:f>
              <c:numCache>
                <c:formatCode>0.0</c:formatCode>
                <c:ptCount val="76"/>
                <c:pt idx="0">
                  <c:v>169.57</c:v>
                </c:pt>
                <c:pt idx="1">
                  <c:v>175.38</c:v>
                </c:pt>
                <c:pt idx="2">
                  <c:v>181.14</c:v>
                </c:pt>
                <c:pt idx="3">
                  <c:v>193.56</c:v>
                </c:pt>
                <c:pt idx="4">
                  <c:v>206.37</c:v>
                </c:pt>
                <c:pt idx="5">
                  <c:v>215.76</c:v>
                </c:pt>
                <c:pt idx="6">
                  <c:v>222.92</c:v>
                </c:pt>
                <c:pt idx="7">
                  <c:v>229.45</c:v>
                </c:pt>
                <c:pt idx="8">
                  <c:v>245.42</c:v>
                </c:pt>
                <c:pt idx="9">
                  <c:v>237.21</c:v>
                </c:pt>
                <c:pt idx="10">
                  <c:v>237.76</c:v>
                </c:pt>
                <c:pt idx="11">
                  <c:v>240.22</c:v>
                </c:pt>
                <c:pt idx="12">
                  <c:v>246.82</c:v>
                </c:pt>
                <c:pt idx="13">
                  <c:v>252.65</c:v>
                </c:pt>
                <c:pt idx="14">
                  <c:v>264.34</c:v>
                </c:pt>
                <c:pt idx="15">
                  <c:v>252.02</c:v>
                </c:pt>
                <c:pt idx="16">
                  <c:v>246.6</c:v>
                </c:pt>
                <c:pt idx="17">
                  <c:v>242.48</c:v>
                </c:pt>
                <c:pt idx="18">
                  <c:v>246.15</c:v>
                </c:pt>
                <c:pt idx="19">
                  <c:v>251.47</c:v>
                </c:pt>
                <c:pt idx="20">
                  <c:v>263.56</c:v>
                </c:pt>
                <c:pt idx="21">
                  <c:v>266.81</c:v>
                </c:pt>
                <c:pt idx="22">
                  <c:v>279.71</c:v>
                </c:pt>
                <c:pt idx="23">
                  <c:v>285.71</c:v>
                </c:pt>
                <c:pt idx="24">
                  <c:v>291.75</c:v>
                </c:pt>
                <c:pt idx="25">
                  <c:v>297.5</c:v>
                </c:pt>
                <c:pt idx="26">
                  <c:v>300.65</c:v>
                </c:pt>
                <c:pt idx="27">
                  <c:v>298.55</c:v>
                </c:pt>
                <c:pt idx="28">
                  <c:v>301.87</c:v>
                </c:pt>
                <c:pt idx="29">
                  <c:v>306.94</c:v>
                </c:pt>
                <c:pt idx="30">
                  <c:v>317.63</c:v>
                </c:pt>
                <c:pt idx="31">
                  <c:v>332.359</c:v>
                </c:pt>
                <c:pt idx="32">
                  <c:v>331.629</c:v>
                </c:pt>
                <c:pt idx="33">
                  <c:v>342.7</c:v>
                </c:pt>
                <c:pt idx="34">
                  <c:v>347.671</c:v>
                </c:pt>
                <c:pt idx="35">
                  <c:v>357.266</c:v>
                </c:pt>
                <c:pt idx="36">
                  <c:v>364.174</c:v>
                </c:pt>
                <c:pt idx="37">
                  <c:v>366.658</c:v>
                </c:pt>
                <c:pt idx="38">
                  <c:v>376.527</c:v>
                </c:pt>
                <c:pt idx="39">
                  <c:v>373.399</c:v>
                </c:pt>
                <c:pt idx="40">
                  <c:v>376.78</c:v>
                </c:pt>
                <c:pt idx="41">
                  <c:v>373.861</c:v>
                </c:pt>
                <c:pt idx="42">
                  <c:v>374.064</c:v>
                </c:pt>
                <c:pt idx="43">
                  <c:v>367.18</c:v>
                </c:pt>
                <c:pt idx="44">
                  <c:v>355.31</c:v>
                </c:pt>
                <c:pt idx="45">
                  <c:v>361.73</c:v>
                </c:pt>
                <c:pt idx="46">
                  <c:v>347.69</c:v>
                </c:pt>
                <c:pt idx="47">
                  <c:v>341.91</c:v>
                </c:pt>
                <c:pt idx="48">
                  <c:v>336.5</c:v>
                </c:pt>
                <c:pt idx="49">
                  <c:v>317.73</c:v>
                </c:pt>
                <c:pt idx="50">
                  <c:v>318.51</c:v>
                </c:pt>
                <c:pt idx="51">
                  <c:v>319.88</c:v>
                </c:pt>
                <c:pt idx="52">
                  <c:v>318.8679</c:v>
                </c:pt>
                <c:pt idx="53">
                  <c:v>315.1617</c:v>
                </c:pt>
                <c:pt idx="54">
                  <c:v>310.2063</c:v>
                </c:pt>
                <c:pt idx="55">
                  <c:v>296.1754</c:v>
                </c:pt>
                <c:pt idx="56">
                  <c:v>292.9727</c:v>
                </c:pt>
                <c:pt idx="57">
                  <c:v>310.3539</c:v>
                </c:pt>
                <c:pt idx="58">
                  <c:v>279.1759</c:v>
                </c:pt>
                <c:pt idx="59">
                  <c:v>270.8809</c:v>
                </c:pt>
                <c:pt idx="60">
                  <c:v>278.8474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Forecast!C1</c:f>
              <c:strCache>
                <c:ptCount val="1"/>
                <c:pt idx="0">
                  <c:v>Actual consumed (TWh)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Forecast!$A$2:$A$77</c:f>
              <c:strCache>
                <c:ptCount val="76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  <c:pt idx="60">
                  <c:v>2025</c:v>
                </c:pt>
                <c:pt idx="61">
                  <c:v>2026</c:v>
                </c:pt>
                <c:pt idx="62">
                  <c:v>2027</c:v>
                </c:pt>
                <c:pt idx="63">
                  <c:v>2028</c:v>
                </c:pt>
                <c:pt idx="64">
                  <c:v>2029</c:v>
                </c:pt>
                <c:pt idx="65">
                  <c:v>2030</c:v>
                </c:pt>
                <c:pt idx="66">
                  <c:v>2031</c:v>
                </c:pt>
                <c:pt idx="67">
                  <c:v>2032</c:v>
                </c:pt>
                <c:pt idx="68">
                  <c:v>2033</c:v>
                </c:pt>
                <c:pt idx="69">
                  <c:v>2034</c:v>
                </c:pt>
                <c:pt idx="70">
                  <c:v>2035</c:v>
                </c:pt>
                <c:pt idx="71">
                  <c:v>2036</c:v>
                </c:pt>
                <c:pt idx="72">
                  <c:v>2037</c:v>
                </c:pt>
                <c:pt idx="73">
                  <c:v>2038</c:v>
                </c:pt>
                <c:pt idx="74">
                  <c:v>2039</c:v>
                </c:pt>
                <c:pt idx="75">
                  <c:v>2040</c:v>
                </c:pt>
              </c:strCache>
            </c:strRef>
          </c:cat>
          <c:val>
            <c:numRef>
              <c:f>Forecast!$C$2:$C$77</c:f>
              <c:numCache>
                <c:formatCode>0.0</c:formatCode>
                <c:ptCount val="76"/>
                <c:pt idx="0">
                  <c:v>154.71</c:v>
                </c:pt>
                <c:pt idx="1">
                  <c:v>160.65</c:v>
                </c:pt>
                <c:pt idx="2">
                  <c:v>165.75</c:v>
                </c:pt>
                <c:pt idx="3">
                  <c:v>178.2</c:v>
                </c:pt>
                <c:pt idx="4">
                  <c:v>189.86</c:v>
                </c:pt>
                <c:pt idx="5">
                  <c:v>199</c:v>
                </c:pt>
                <c:pt idx="6">
                  <c:v>204.56</c:v>
                </c:pt>
                <c:pt idx="7">
                  <c:v>211.55</c:v>
                </c:pt>
                <c:pt idx="8">
                  <c:v>226.48</c:v>
                </c:pt>
                <c:pt idx="9">
                  <c:v>219.64</c:v>
                </c:pt>
                <c:pt idx="10">
                  <c:v>219.07</c:v>
                </c:pt>
                <c:pt idx="11">
                  <c:v>222</c:v>
                </c:pt>
                <c:pt idx="12">
                  <c:v>226.8</c:v>
                </c:pt>
                <c:pt idx="13">
                  <c:v>231.42</c:v>
                </c:pt>
                <c:pt idx="14">
                  <c:v>242</c:v>
                </c:pt>
                <c:pt idx="15">
                  <c:v>231.11</c:v>
                </c:pt>
                <c:pt idx="16">
                  <c:v>227.21</c:v>
                </c:pt>
                <c:pt idx="17">
                  <c:v>222.82</c:v>
                </c:pt>
                <c:pt idx="18">
                  <c:v>226.09</c:v>
                </c:pt>
                <c:pt idx="19">
                  <c:v>230.96</c:v>
                </c:pt>
                <c:pt idx="20">
                  <c:v>241.85</c:v>
                </c:pt>
                <c:pt idx="21">
                  <c:v>249.34</c:v>
                </c:pt>
                <c:pt idx="22">
                  <c:v>268.38</c:v>
                </c:pt>
                <c:pt idx="23">
                  <c:v>274.5</c:v>
                </c:pt>
                <c:pt idx="24">
                  <c:v>279.4</c:v>
                </c:pt>
                <c:pt idx="25">
                  <c:v>284.42</c:v>
                </c:pt>
                <c:pt idx="26">
                  <c:v>290.84</c:v>
                </c:pt>
                <c:pt idx="27">
                  <c:v>291.45</c:v>
                </c:pt>
                <c:pt idx="28">
                  <c:v>295.75</c:v>
                </c:pt>
                <c:pt idx="29">
                  <c:v>292.83</c:v>
                </c:pt>
                <c:pt idx="30">
                  <c:v>303.92</c:v>
                </c:pt>
                <c:pt idx="31">
                  <c:v>319.7782</c:v>
                </c:pt>
                <c:pt idx="32">
                  <c:v>321.065</c:v>
                </c:pt>
                <c:pt idx="33">
                  <c:v>325.35</c:v>
                </c:pt>
                <c:pt idx="34">
                  <c:v>332.0529</c:v>
                </c:pt>
                <c:pt idx="35">
                  <c:v>340.296</c:v>
                </c:pt>
                <c:pt idx="36">
                  <c:v>342.504</c:v>
                </c:pt>
                <c:pt idx="37">
                  <c:v>344.109</c:v>
                </c:pt>
                <c:pt idx="38">
                  <c:v>346.617</c:v>
                </c:pt>
                <c:pt idx="39">
                  <c:v>347.714</c:v>
                </c:pt>
                <c:pt idx="40">
                  <c:v>357.199</c:v>
                </c:pt>
                <c:pt idx="41">
                  <c:v>353.863</c:v>
                </c:pt>
                <c:pt idx="42">
                  <c:v>351.449</c:v>
                </c:pt>
                <c:pt idx="43">
                  <c:v>349.53</c:v>
                </c:pt>
                <c:pt idx="44">
                  <c:v>329.42</c:v>
                </c:pt>
                <c:pt idx="45">
                  <c:v>337.51</c:v>
                </c:pt>
                <c:pt idx="46">
                  <c:v>325.92</c:v>
                </c:pt>
                <c:pt idx="47">
                  <c:v>325.48</c:v>
                </c:pt>
                <c:pt idx="48">
                  <c:v>324.38</c:v>
                </c:pt>
                <c:pt idx="49">
                  <c:v>310.8</c:v>
                </c:pt>
                <c:pt idx="50">
                  <c:v>311.42</c:v>
                </c:pt>
                <c:pt idx="51">
                  <c:v>311.3</c:v>
                </c:pt>
                <c:pt idx="52">
                  <c:v>306.4478</c:v>
                </c:pt>
                <c:pt idx="53">
                  <c:v>307.3475</c:v>
                </c:pt>
                <c:pt idx="54">
                  <c:v>304.1131</c:v>
                </c:pt>
                <c:pt idx="55">
                  <c:v>286.6395</c:v>
                </c:pt>
                <c:pt idx="56">
                  <c:v>290.6887</c:v>
                </c:pt>
                <c:pt idx="57">
                  <c:v>277.9878</c:v>
                </c:pt>
                <c:pt idx="58">
                  <c:v>274.329</c:v>
                </c:pt>
                <c:pt idx="59">
                  <c:v>276.8221</c:v>
                </c:pt>
                <c:pt idx="60">
                  <c:v>280.2018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Forecast!D1</c:f>
              <c:strCache>
                <c:ptCount val="1"/>
                <c:pt idx="0">
                  <c:v>Linear trend: supply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Forecast!$A$2:$A$77</c:f>
              <c:strCache>
                <c:ptCount val="76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  <c:pt idx="60">
                  <c:v>2025</c:v>
                </c:pt>
                <c:pt idx="61">
                  <c:v>2026</c:v>
                </c:pt>
                <c:pt idx="62">
                  <c:v>2027</c:v>
                </c:pt>
                <c:pt idx="63">
                  <c:v>2028</c:v>
                </c:pt>
                <c:pt idx="64">
                  <c:v>2029</c:v>
                </c:pt>
                <c:pt idx="65">
                  <c:v>2030</c:v>
                </c:pt>
                <c:pt idx="66">
                  <c:v>2031</c:v>
                </c:pt>
                <c:pt idx="67">
                  <c:v>2032</c:v>
                </c:pt>
                <c:pt idx="68">
                  <c:v>2033</c:v>
                </c:pt>
                <c:pt idx="69">
                  <c:v>2034</c:v>
                </c:pt>
                <c:pt idx="70">
                  <c:v>2035</c:v>
                </c:pt>
                <c:pt idx="71">
                  <c:v>2036</c:v>
                </c:pt>
                <c:pt idx="72">
                  <c:v>2037</c:v>
                </c:pt>
                <c:pt idx="73">
                  <c:v>2038</c:v>
                </c:pt>
                <c:pt idx="74">
                  <c:v>2039</c:v>
                </c:pt>
                <c:pt idx="75">
                  <c:v>2040</c:v>
                </c:pt>
              </c:strCache>
            </c:strRef>
          </c:cat>
          <c:val>
            <c:numRef>
              <c:f>Forecast!$D$2:$D$77</c:f>
              <c:numCache>
                <c:formatCode>0.0</c:formatCode>
                <c:ptCount val="76"/>
                <c:pt idx="0">
                  <c:v>214.337681297487</c:v>
                </c:pt>
                <c:pt idx="1">
                  <c:v>217.098510326371</c:v>
                </c:pt>
                <c:pt idx="2">
                  <c:v>219.859339355255</c:v>
                </c:pt>
                <c:pt idx="3">
                  <c:v>222.62016838414</c:v>
                </c:pt>
                <c:pt idx="4">
                  <c:v>225.380997413024</c:v>
                </c:pt>
                <c:pt idx="5">
                  <c:v>228.141826441908</c:v>
                </c:pt>
                <c:pt idx="6">
                  <c:v>230.902655470793</c:v>
                </c:pt>
                <c:pt idx="7">
                  <c:v>233.663484499677</c:v>
                </c:pt>
                <c:pt idx="8">
                  <c:v>236.424313528561</c:v>
                </c:pt>
                <c:pt idx="9">
                  <c:v>239.185142557446</c:v>
                </c:pt>
                <c:pt idx="10">
                  <c:v>241.94597158633</c:v>
                </c:pt>
                <c:pt idx="11">
                  <c:v>244.706800615214</c:v>
                </c:pt>
                <c:pt idx="12">
                  <c:v>247.467629644099</c:v>
                </c:pt>
                <c:pt idx="13">
                  <c:v>250.228458672983</c:v>
                </c:pt>
                <c:pt idx="14">
                  <c:v>252.989287701867</c:v>
                </c:pt>
                <c:pt idx="15">
                  <c:v>255.750116730751</c:v>
                </c:pt>
                <c:pt idx="16">
                  <c:v>258.510945759636</c:v>
                </c:pt>
                <c:pt idx="17">
                  <c:v>261.27177478852</c:v>
                </c:pt>
                <c:pt idx="18">
                  <c:v>264.032603817404</c:v>
                </c:pt>
                <c:pt idx="19">
                  <c:v>266.793432846289</c:v>
                </c:pt>
                <c:pt idx="20">
                  <c:v>269.554261875173</c:v>
                </c:pt>
                <c:pt idx="21">
                  <c:v>272.315090904057</c:v>
                </c:pt>
                <c:pt idx="22">
                  <c:v>275.075919932942</c:v>
                </c:pt>
                <c:pt idx="23">
                  <c:v>277.836748961826</c:v>
                </c:pt>
                <c:pt idx="24">
                  <c:v>280.59757799071</c:v>
                </c:pt>
                <c:pt idx="25">
                  <c:v>283.358407019595</c:v>
                </c:pt>
                <c:pt idx="26">
                  <c:v>286.119236048479</c:v>
                </c:pt>
                <c:pt idx="27">
                  <c:v>288.880065077363</c:v>
                </c:pt>
                <c:pt idx="28">
                  <c:v>291.640894106248</c:v>
                </c:pt>
                <c:pt idx="29">
                  <c:v>294.401723135132</c:v>
                </c:pt>
                <c:pt idx="30">
                  <c:v>297.162552164016</c:v>
                </c:pt>
                <c:pt idx="31">
                  <c:v>299.9233811929</c:v>
                </c:pt>
                <c:pt idx="32">
                  <c:v>302.684210221785</c:v>
                </c:pt>
                <c:pt idx="33">
                  <c:v>305.445039250669</c:v>
                </c:pt>
                <c:pt idx="34">
                  <c:v>308.205868279553</c:v>
                </c:pt>
                <c:pt idx="35">
                  <c:v>310.966697308438</c:v>
                </c:pt>
                <c:pt idx="36">
                  <c:v>313.727526337322</c:v>
                </c:pt>
                <c:pt idx="37">
                  <c:v>316.488355366206</c:v>
                </c:pt>
                <c:pt idx="38">
                  <c:v>319.249184395091</c:v>
                </c:pt>
                <c:pt idx="39">
                  <c:v>322.010013423975</c:v>
                </c:pt>
                <c:pt idx="40">
                  <c:v>324.770842452859</c:v>
                </c:pt>
                <c:pt idx="41">
                  <c:v>327.531671481744</c:v>
                </c:pt>
                <c:pt idx="42">
                  <c:v>330.292500510628</c:v>
                </c:pt>
                <c:pt idx="43">
                  <c:v>333.053329539512</c:v>
                </c:pt>
                <c:pt idx="44">
                  <c:v>335.814158568396</c:v>
                </c:pt>
                <c:pt idx="45">
                  <c:v>338.574987597281</c:v>
                </c:pt>
                <c:pt idx="46">
                  <c:v>341.335816626165</c:v>
                </c:pt>
                <c:pt idx="47">
                  <c:v>344.096645655049</c:v>
                </c:pt>
                <c:pt idx="48">
                  <c:v>346.857474683934</c:v>
                </c:pt>
                <c:pt idx="49">
                  <c:v>349.618303712818</c:v>
                </c:pt>
                <c:pt idx="50">
                  <c:v>352.379132741702</c:v>
                </c:pt>
                <c:pt idx="51">
                  <c:v>355.139961770587</c:v>
                </c:pt>
                <c:pt idx="52">
                  <c:v>357.900790799471</c:v>
                </c:pt>
                <c:pt idx="53">
                  <c:v>360.661619828355</c:v>
                </c:pt>
                <c:pt idx="54">
                  <c:v>363.42244885724</c:v>
                </c:pt>
                <c:pt idx="55">
                  <c:v>366.183277886124</c:v>
                </c:pt>
                <c:pt idx="56">
                  <c:v>368.944106915008</c:v>
                </c:pt>
                <c:pt idx="57">
                  <c:v>371.704935943892</c:v>
                </c:pt>
                <c:pt idx="58">
                  <c:v>374.465764972777</c:v>
                </c:pt>
                <c:pt idx="59">
                  <c:v>377.226594001661</c:v>
                </c:pt>
                <c:pt idx="60">
                  <c:v>379.987423030545</c:v>
                </c:pt>
                <c:pt idx="61">
                  <c:v>382.74825205943</c:v>
                </c:pt>
                <c:pt idx="62">
                  <c:v>385.509081088314</c:v>
                </c:pt>
                <c:pt idx="63">
                  <c:v>388.269910117198</c:v>
                </c:pt>
                <c:pt idx="64">
                  <c:v>391.030739146083</c:v>
                </c:pt>
                <c:pt idx="65">
                  <c:v>393.791568174967</c:v>
                </c:pt>
                <c:pt idx="66">
                  <c:v>396.552397203851</c:v>
                </c:pt>
                <c:pt idx="67">
                  <c:v>399.313226232736</c:v>
                </c:pt>
                <c:pt idx="68">
                  <c:v>402.07405526162</c:v>
                </c:pt>
                <c:pt idx="69">
                  <c:v>404.834884290504</c:v>
                </c:pt>
                <c:pt idx="70">
                  <c:v>407.595713319389</c:v>
                </c:pt>
                <c:pt idx="71">
                  <c:v>410.356542348273</c:v>
                </c:pt>
                <c:pt idx="72">
                  <c:v>413.117371377157</c:v>
                </c:pt>
                <c:pt idx="73">
                  <c:v>415.878200406041</c:v>
                </c:pt>
                <c:pt idx="74">
                  <c:v>418.639029434926</c:v>
                </c:pt>
                <c:pt idx="75">
                  <c:v>421.39985846381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Forecast!E1</c:f>
              <c:strCache>
                <c:ptCount val="1"/>
                <c:pt idx="0">
                  <c:v>Linear trend: consumption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Forecast!$A$2:$A$77</c:f>
              <c:strCache>
                <c:ptCount val="76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  <c:pt idx="60">
                  <c:v>2025</c:v>
                </c:pt>
                <c:pt idx="61">
                  <c:v>2026</c:v>
                </c:pt>
                <c:pt idx="62">
                  <c:v>2027</c:v>
                </c:pt>
                <c:pt idx="63">
                  <c:v>2028</c:v>
                </c:pt>
                <c:pt idx="64">
                  <c:v>2029</c:v>
                </c:pt>
                <c:pt idx="65">
                  <c:v>2030</c:v>
                </c:pt>
                <c:pt idx="66">
                  <c:v>2031</c:v>
                </c:pt>
                <c:pt idx="67">
                  <c:v>2032</c:v>
                </c:pt>
                <c:pt idx="68">
                  <c:v>2033</c:v>
                </c:pt>
                <c:pt idx="69">
                  <c:v>2034</c:v>
                </c:pt>
                <c:pt idx="70">
                  <c:v>2035</c:v>
                </c:pt>
                <c:pt idx="71">
                  <c:v>2036</c:v>
                </c:pt>
                <c:pt idx="72">
                  <c:v>2037</c:v>
                </c:pt>
                <c:pt idx="73">
                  <c:v>2038</c:v>
                </c:pt>
                <c:pt idx="74">
                  <c:v>2039</c:v>
                </c:pt>
                <c:pt idx="75">
                  <c:v>2040</c:v>
                </c:pt>
              </c:strCache>
            </c:strRef>
          </c:cat>
          <c:val>
            <c:numRef>
              <c:f>Forecast!$E$2:$E$77</c:f>
              <c:numCache>
                <c:formatCode>0.0</c:formatCode>
                <c:ptCount val="76"/>
                <c:pt idx="0">
                  <c:v>196.265604734074</c:v>
                </c:pt>
                <c:pt idx="1">
                  <c:v>199.084804023501</c:v>
                </c:pt>
                <c:pt idx="2">
                  <c:v>201.904003312929</c:v>
                </c:pt>
                <c:pt idx="3">
                  <c:v>204.723202602356</c:v>
                </c:pt>
                <c:pt idx="4">
                  <c:v>207.542401891784</c:v>
                </c:pt>
                <c:pt idx="5">
                  <c:v>210.361601181211</c:v>
                </c:pt>
                <c:pt idx="6">
                  <c:v>213.180800470639</c:v>
                </c:pt>
                <c:pt idx="7">
                  <c:v>215.999999760066</c:v>
                </c:pt>
                <c:pt idx="8">
                  <c:v>218.819199049494</c:v>
                </c:pt>
                <c:pt idx="9">
                  <c:v>221.638398338922</c:v>
                </c:pt>
                <c:pt idx="10">
                  <c:v>224.457597628349</c:v>
                </c:pt>
                <c:pt idx="11">
                  <c:v>227.276796917777</c:v>
                </c:pt>
                <c:pt idx="12">
                  <c:v>230.095996207204</c:v>
                </c:pt>
                <c:pt idx="13">
                  <c:v>232.915195496632</c:v>
                </c:pt>
                <c:pt idx="14">
                  <c:v>235.734394786059</c:v>
                </c:pt>
                <c:pt idx="15">
                  <c:v>238.553594075487</c:v>
                </c:pt>
                <c:pt idx="16">
                  <c:v>241.372793364914</c:v>
                </c:pt>
                <c:pt idx="17">
                  <c:v>244.191992654342</c:v>
                </c:pt>
                <c:pt idx="18">
                  <c:v>247.011191943769</c:v>
                </c:pt>
                <c:pt idx="19">
                  <c:v>249.830391233197</c:v>
                </c:pt>
                <c:pt idx="20">
                  <c:v>252.649590522625</c:v>
                </c:pt>
                <c:pt idx="21">
                  <c:v>255.468789812052</c:v>
                </c:pt>
                <c:pt idx="22">
                  <c:v>258.28798910148</c:v>
                </c:pt>
                <c:pt idx="23">
                  <c:v>261.107188390907</c:v>
                </c:pt>
                <c:pt idx="24">
                  <c:v>263.926387680335</c:v>
                </c:pt>
                <c:pt idx="25">
                  <c:v>266.745586969762</c:v>
                </c:pt>
                <c:pt idx="26">
                  <c:v>269.56478625919</c:v>
                </c:pt>
                <c:pt idx="27">
                  <c:v>272.383985548617</c:v>
                </c:pt>
                <c:pt idx="28">
                  <c:v>275.203184838045</c:v>
                </c:pt>
                <c:pt idx="29">
                  <c:v>278.022384127472</c:v>
                </c:pt>
                <c:pt idx="30">
                  <c:v>280.8415834169</c:v>
                </c:pt>
                <c:pt idx="31">
                  <c:v>283.660782706328</c:v>
                </c:pt>
                <c:pt idx="32">
                  <c:v>286.479981995755</c:v>
                </c:pt>
                <c:pt idx="33">
                  <c:v>289.299181285183</c:v>
                </c:pt>
                <c:pt idx="34">
                  <c:v>292.11838057461</c:v>
                </c:pt>
                <c:pt idx="35">
                  <c:v>294.937579864038</c:v>
                </c:pt>
                <c:pt idx="36">
                  <c:v>297.756779153465</c:v>
                </c:pt>
                <c:pt idx="37">
                  <c:v>300.575978442893</c:v>
                </c:pt>
                <c:pt idx="38">
                  <c:v>303.39517773232</c:v>
                </c:pt>
                <c:pt idx="39">
                  <c:v>306.214377021748</c:v>
                </c:pt>
                <c:pt idx="40">
                  <c:v>309.033576311175</c:v>
                </c:pt>
                <c:pt idx="41">
                  <c:v>311.852775600603</c:v>
                </c:pt>
                <c:pt idx="42">
                  <c:v>314.67197489003</c:v>
                </c:pt>
                <c:pt idx="43">
                  <c:v>317.491174179458</c:v>
                </c:pt>
                <c:pt idx="44">
                  <c:v>320.310373468886</c:v>
                </c:pt>
                <c:pt idx="45">
                  <c:v>323.129572758313</c:v>
                </c:pt>
                <c:pt idx="46">
                  <c:v>325.948772047741</c:v>
                </c:pt>
                <c:pt idx="47">
                  <c:v>328.767971337168</c:v>
                </c:pt>
                <c:pt idx="48">
                  <c:v>331.587170626596</c:v>
                </c:pt>
                <c:pt idx="49">
                  <c:v>334.406369916023</c:v>
                </c:pt>
                <c:pt idx="50">
                  <c:v>337.225569205451</c:v>
                </c:pt>
                <c:pt idx="51">
                  <c:v>340.044768494878</c:v>
                </c:pt>
                <c:pt idx="52">
                  <c:v>342.863967784306</c:v>
                </c:pt>
                <c:pt idx="53">
                  <c:v>345.683167073733</c:v>
                </c:pt>
                <c:pt idx="54">
                  <c:v>348.502366363161</c:v>
                </c:pt>
                <c:pt idx="55">
                  <c:v>351.321565652589</c:v>
                </c:pt>
                <c:pt idx="56">
                  <c:v>354.140764942016</c:v>
                </c:pt>
                <c:pt idx="57">
                  <c:v>356.959964231444</c:v>
                </c:pt>
                <c:pt idx="58">
                  <c:v>359.779163520871</c:v>
                </c:pt>
                <c:pt idx="59">
                  <c:v>362.598362810299</c:v>
                </c:pt>
                <c:pt idx="60">
                  <c:v>365.417562099726</c:v>
                </c:pt>
                <c:pt idx="61">
                  <c:v>368.236761389154</c:v>
                </c:pt>
                <c:pt idx="62">
                  <c:v>371.055960678581</c:v>
                </c:pt>
                <c:pt idx="63">
                  <c:v>373.875159968009</c:v>
                </c:pt>
                <c:pt idx="64">
                  <c:v>376.694359257436</c:v>
                </c:pt>
                <c:pt idx="65">
                  <c:v>379.513558546864</c:v>
                </c:pt>
                <c:pt idx="66">
                  <c:v>382.332757836292</c:v>
                </c:pt>
                <c:pt idx="67">
                  <c:v>385.151957125719</c:v>
                </c:pt>
                <c:pt idx="68">
                  <c:v>387.971156415147</c:v>
                </c:pt>
                <c:pt idx="69">
                  <c:v>390.790355704574</c:v>
                </c:pt>
                <c:pt idx="70">
                  <c:v>393.609554994002</c:v>
                </c:pt>
                <c:pt idx="71">
                  <c:v>396.428754283429</c:v>
                </c:pt>
                <c:pt idx="72">
                  <c:v>399.247953572857</c:v>
                </c:pt>
                <c:pt idx="73">
                  <c:v>402.067152862284</c:v>
                </c:pt>
                <c:pt idx="74">
                  <c:v>404.886352151712</c:v>
                </c:pt>
                <c:pt idx="75">
                  <c:v>407.705551441139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Forecast!F1</c:f>
              <c:strCache>
                <c:ptCount val="1"/>
                <c:pt idx="0">
                  <c:v>Rebased supply at break-even growth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Forecast!$A$2:$A$77</c:f>
              <c:strCache>
                <c:ptCount val="76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  <c:pt idx="60">
                  <c:v>2025</c:v>
                </c:pt>
                <c:pt idx="61">
                  <c:v>2026</c:v>
                </c:pt>
                <c:pt idx="62">
                  <c:v>2027</c:v>
                </c:pt>
                <c:pt idx="63">
                  <c:v>2028</c:v>
                </c:pt>
                <c:pt idx="64">
                  <c:v>2029</c:v>
                </c:pt>
                <c:pt idx="65">
                  <c:v>2030</c:v>
                </c:pt>
                <c:pt idx="66">
                  <c:v>2031</c:v>
                </c:pt>
                <c:pt idx="67">
                  <c:v>2032</c:v>
                </c:pt>
                <c:pt idx="68">
                  <c:v>2033</c:v>
                </c:pt>
                <c:pt idx="69">
                  <c:v>2034</c:v>
                </c:pt>
                <c:pt idx="70">
                  <c:v>2035</c:v>
                </c:pt>
                <c:pt idx="71">
                  <c:v>2036</c:v>
                </c:pt>
                <c:pt idx="72">
                  <c:v>2037</c:v>
                </c:pt>
                <c:pt idx="73">
                  <c:v>2038</c:v>
                </c:pt>
                <c:pt idx="74">
                  <c:v>2039</c:v>
                </c:pt>
                <c:pt idx="75">
                  <c:v>2040</c:v>
                </c:pt>
              </c:strCache>
            </c:strRef>
          </c:cat>
          <c:val>
            <c:numRef>
              <c:f>Forecast!$F$2:$F$77</c:f>
              <c:numCache>
                <c:formatCode>0.0</c:formatCode>
                <c:ptCount val="76"/>
                <c:pt idx="56">
                  <c:v>368.944106915008</c:v>
                </c:pt>
                <c:pt idx="57">
                  <c:v>370.984182942699</c:v>
                </c:pt>
                <c:pt idx="58">
                  <c:v>373.02425897039</c:v>
                </c:pt>
                <c:pt idx="59">
                  <c:v>375.064334998082</c:v>
                </c:pt>
                <c:pt idx="60">
                  <c:v>377.104411025773</c:v>
                </c:pt>
                <c:pt idx="61">
                  <c:v>379.144487053464</c:v>
                </c:pt>
                <c:pt idx="62">
                  <c:v>381.184563081155</c:v>
                </c:pt>
                <c:pt idx="63">
                  <c:v>383.224639108846</c:v>
                </c:pt>
                <c:pt idx="64">
                  <c:v>385.264715136537</c:v>
                </c:pt>
                <c:pt idx="65">
                  <c:v>387.304791164228</c:v>
                </c:pt>
                <c:pt idx="66">
                  <c:v>389.344867191919</c:v>
                </c:pt>
                <c:pt idx="67">
                  <c:v>391.38494321961</c:v>
                </c:pt>
                <c:pt idx="68">
                  <c:v>393.425019247302</c:v>
                </c:pt>
                <c:pt idx="69">
                  <c:v>395.465095274993</c:v>
                </c:pt>
                <c:pt idx="70">
                  <c:v>397.505171302684</c:v>
                </c:pt>
                <c:pt idx="71">
                  <c:v>399.545247330375</c:v>
                </c:pt>
                <c:pt idx="72">
                  <c:v>401.585323358066</c:v>
                </c:pt>
                <c:pt idx="73">
                  <c:v>403.625399385757</c:v>
                </c:pt>
                <c:pt idx="74">
                  <c:v>405.665475413448</c:v>
                </c:pt>
                <c:pt idx="75">
                  <c:v>407.705551441139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213951"/>
        <c:axId val="94602716"/>
      </c:lineChart>
      <c:catAx>
        <c:axId val="462139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02716"/>
        <c:crosses val="autoZero"/>
        <c:auto val="1"/>
        <c:lblAlgn val="ctr"/>
        <c:lblOffset val="100"/>
        <c:noMultiLvlLbl val="0"/>
      </c:catAx>
      <c:valAx>
        <c:axId val="946027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139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17</xdr:col>
      <xdr:colOff>364680</xdr:colOff>
      <xdr:row>16</xdr:row>
      <xdr:rowOff>22320</xdr:rowOff>
    </xdr:to>
    <xdr:graphicFrame>
      <xdr:nvGraphicFramePr>
        <xdr:cNvPr id="0" name="Chart 1"/>
        <xdr:cNvGraphicFramePr/>
      </xdr:nvGraphicFramePr>
      <xdr:xfrm>
        <a:off x="836496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19</xdr:col>
      <xdr:colOff>581760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6391440" y="5716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8.3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28.3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4" t="str">
        <f aca="false">"Slowdown needed for a gap by "&amp;Model!$C$7&amp;": "&amp;TEXT(Model!$C$29,"0.0%")</f>
        <v>Slowdown needed for a gap by 2040: 26.1%</v>
      </c>
    </row>
    <row r="17" customFormat="false" ht="15" hidden="false" customHeight="false" outlineLevel="0" collapsed="false">
      <c r="A17" s="5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18"/>
  </cols>
  <sheetData>
    <row r="1" customFormat="false" ht="45" hidden="false" customHeight="true" outlineLevel="0" collapsed="false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</row>
    <row r="2" customFormat="false" ht="15" hidden="false" customHeight="false" outlineLevel="0" collapsed="false">
      <c r="A2" s="7" t="n">
        <v>1965</v>
      </c>
      <c r="B2" s="7" t="n">
        <f aca="false">A2-1965</f>
        <v>0</v>
      </c>
      <c r="C2" s="7" t="n">
        <f aca="false">B2^2</f>
        <v>0</v>
      </c>
      <c r="D2" s="7" t="n">
        <f aca="false">B2^3</f>
        <v>0</v>
      </c>
      <c r="E2" s="8" t="n">
        <v>169.57</v>
      </c>
      <c r="F2" s="8" t="n">
        <v>154.71</v>
      </c>
    </row>
    <row r="3" customFormat="false" ht="15" hidden="false" customHeight="false" outlineLevel="0" collapsed="false">
      <c r="A3" s="7" t="n">
        <v>1966</v>
      </c>
      <c r="B3" s="7" t="n">
        <f aca="false">A3-1965</f>
        <v>1</v>
      </c>
      <c r="C3" s="7" t="n">
        <f aca="false">B3^2</f>
        <v>1</v>
      </c>
      <c r="D3" s="7" t="n">
        <f aca="false">B3^3</f>
        <v>1</v>
      </c>
      <c r="E3" s="8" t="n">
        <v>175.38</v>
      </c>
      <c r="F3" s="8" t="n">
        <v>160.65</v>
      </c>
    </row>
    <row r="4" customFormat="false" ht="15" hidden="false" customHeight="false" outlineLevel="0" collapsed="false">
      <c r="A4" s="7" t="n">
        <v>1967</v>
      </c>
      <c r="B4" s="7" t="n">
        <f aca="false">A4-1965</f>
        <v>2</v>
      </c>
      <c r="C4" s="7" t="n">
        <f aca="false">B4^2</f>
        <v>4</v>
      </c>
      <c r="D4" s="7" t="n">
        <f aca="false">B4^3</f>
        <v>8</v>
      </c>
      <c r="E4" s="8" t="n">
        <v>181.14</v>
      </c>
      <c r="F4" s="8" t="n">
        <v>165.75</v>
      </c>
    </row>
    <row r="5" customFormat="false" ht="15" hidden="false" customHeight="false" outlineLevel="0" collapsed="false">
      <c r="A5" s="7" t="n">
        <v>1968</v>
      </c>
      <c r="B5" s="7" t="n">
        <f aca="false">A5-1965</f>
        <v>3</v>
      </c>
      <c r="C5" s="7" t="n">
        <f aca="false">B5^2</f>
        <v>9</v>
      </c>
      <c r="D5" s="7" t="n">
        <f aca="false">B5^3</f>
        <v>27</v>
      </c>
      <c r="E5" s="8" t="n">
        <v>193.56</v>
      </c>
      <c r="F5" s="8" t="n">
        <v>178.2</v>
      </c>
    </row>
    <row r="6" customFormat="false" ht="15" hidden="false" customHeight="false" outlineLevel="0" collapsed="false">
      <c r="A6" s="7" t="n">
        <v>1969</v>
      </c>
      <c r="B6" s="7" t="n">
        <f aca="false">A6-1965</f>
        <v>4</v>
      </c>
      <c r="C6" s="7" t="n">
        <f aca="false">B6^2</f>
        <v>16</v>
      </c>
      <c r="D6" s="7" t="n">
        <f aca="false">B6^3</f>
        <v>64</v>
      </c>
      <c r="E6" s="8" t="n">
        <v>206.37</v>
      </c>
      <c r="F6" s="8" t="n">
        <v>189.86</v>
      </c>
    </row>
    <row r="7" customFormat="false" ht="15" hidden="false" customHeight="false" outlineLevel="0" collapsed="false">
      <c r="A7" s="7" t="n">
        <v>1970</v>
      </c>
      <c r="B7" s="7" t="n">
        <f aca="false">A7-1965</f>
        <v>5</v>
      </c>
      <c r="C7" s="7" t="n">
        <f aca="false">B7^2</f>
        <v>25</v>
      </c>
      <c r="D7" s="7" t="n">
        <f aca="false">B7^3</f>
        <v>125</v>
      </c>
      <c r="E7" s="8" t="n">
        <v>215.76</v>
      </c>
      <c r="F7" s="8" t="n">
        <v>199</v>
      </c>
    </row>
    <row r="8" customFormat="false" ht="15" hidden="false" customHeight="false" outlineLevel="0" collapsed="false">
      <c r="A8" s="7" t="n">
        <v>1971</v>
      </c>
      <c r="B8" s="7" t="n">
        <f aca="false">A8-1965</f>
        <v>6</v>
      </c>
      <c r="C8" s="7" t="n">
        <f aca="false">B8^2</f>
        <v>36</v>
      </c>
      <c r="D8" s="7" t="n">
        <f aca="false">B8^3</f>
        <v>216</v>
      </c>
      <c r="E8" s="8" t="n">
        <v>222.92</v>
      </c>
      <c r="F8" s="8" t="n">
        <v>204.56</v>
      </c>
    </row>
    <row r="9" customFormat="false" ht="15" hidden="false" customHeight="false" outlineLevel="0" collapsed="false">
      <c r="A9" s="7" t="n">
        <v>1972</v>
      </c>
      <c r="B9" s="7" t="n">
        <f aca="false">A9-1965</f>
        <v>7</v>
      </c>
      <c r="C9" s="7" t="n">
        <f aca="false">B9^2</f>
        <v>49</v>
      </c>
      <c r="D9" s="7" t="n">
        <f aca="false">B9^3</f>
        <v>343</v>
      </c>
      <c r="E9" s="8" t="n">
        <v>229.45</v>
      </c>
      <c r="F9" s="8" t="n">
        <v>211.55</v>
      </c>
    </row>
    <row r="10" customFormat="false" ht="15" hidden="false" customHeight="false" outlineLevel="0" collapsed="false">
      <c r="A10" s="7" t="n">
        <v>1973</v>
      </c>
      <c r="B10" s="7" t="n">
        <f aca="false">A10-1965</f>
        <v>8</v>
      </c>
      <c r="C10" s="7" t="n">
        <f aca="false">B10^2</f>
        <v>64</v>
      </c>
      <c r="D10" s="7" t="n">
        <f aca="false">B10^3</f>
        <v>512</v>
      </c>
      <c r="E10" s="8" t="n">
        <v>245.42</v>
      </c>
      <c r="F10" s="8" t="n">
        <v>226.48</v>
      </c>
    </row>
    <row r="11" customFormat="false" ht="15" hidden="false" customHeight="false" outlineLevel="0" collapsed="false">
      <c r="A11" s="7" t="n">
        <v>1974</v>
      </c>
      <c r="B11" s="7" t="n">
        <f aca="false">A11-1965</f>
        <v>9</v>
      </c>
      <c r="C11" s="7" t="n">
        <f aca="false">B11^2</f>
        <v>81</v>
      </c>
      <c r="D11" s="7" t="n">
        <f aca="false">B11^3</f>
        <v>729</v>
      </c>
      <c r="E11" s="8" t="n">
        <v>237.21</v>
      </c>
      <c r="F11" s="8" t="n">
        <v>219.64</v>
      </c>
    </row>
    <row r="12" customFormat="false" ht="15" hidden="false" customHeight="false" outlineLevel="0" collapsed="false">
      <c r="A12" s="7" t="n">
        <v>1975</v>
      </c>
      <c r="B12" s="7" t="n">
        <f aca="false">A12-1965</f>
        <v>10</v>
      </c>
      <c r="C12" s="7" t="n">
        <f aca="false">B12^2</f>
        <v>100</v>
      </c>
      <c r="D12" s="7" t="n">
        <f aca="false">B12^3</f>
        <v>1000</v>
      </c>
      <c r="E12" s="8" t="n">
        <v>237.76</v>
      </c>
      <c r="F12" s="8" t="n">
        <v>219.07</v>
      </c>
    </row>
    <row r="13" customFormat="false" ht="15" hidden="false" customHeight="false" outlineLevel="0" collapsed="false">
      <c r="A13" s="7" t="n">
        <v>1976</v>
      </c>
      <c r="B13" s="7" t="n">
        <f aca="false">A13-1965</f>
        <v>11</v>
      </c>
      <c r="C13" s="7" t="n">
        <f aca="false">B13^2</f>
        <v>121</v>
      </c>
      <c r="D13" s="7" t="n">
        <f aca="false">B13^3</f>
        <v>1331</v>
      </c>
      <c r="E13" s="8" t="n">
        <v>240.22</v>
      </c>
      <c r="F13" s="8" t="n">
        <v>222</v>
      </c>
    </row>
    <row r="14" customFormat="false" ht="15" hidden="false" customHeight="false" outlineLevel="0" collapsed="false">
      <c r="A14" s="7" t="n">
        <v>1977</v>
      </c>
      <c r="B14" s="7" t="n">
        <f aca="false">A14-1965</f>
        <v>12</v>
      </c>
      <c r="C14" s="7" t="n">
        <f aca="false">B14^2</f>
        <v>144</v>
      </c>
      <c r="D14" s="7" t="n">
        <f aca="false">B14^3</f>
        <v>1728</v>
      </c>
      <c r="E14" s="8" t="n">
        <v>246.82</v>
      </c>
      <c r="F14" s="8" t="n">
        <v>226.8</v>
      </c>
    </row>
    <row r="15" customFormat="false" ht="15" hidden="false" customHeight="false" outlineLevel="0" collapsed="false">
      <c r="A15" s="7" t="n">
        <v>1978</v>
      </c>
      <c r="B15" s="7" t="n">
        <f aca="false">A15-1965</f>
        <v>13</v>
      </c>
      <c r="C15" s="7" t="n">
        <f aca="false">B15^2</f>
        <v>169</v>
      </c>
      <c r="D15" s="7" t="n">
        <f aca="false">B15^3</f>
        <v>2197</v>
      </c>
      <c r="E15" s="8" t="n">
        <v>252.65</v>
      </c>
      <c r="F15" s="8" t="n">
        <v>231.42</v>
      </c>
    </row>
    <row r="16" customFormat="false" ht="15" hidden="false" customHeight="false" outlineLevel="0" collapsed="false">
      <c r="A16" s="7" t="n">
        <v>1979</v>
      </c>
      <c r="B16" s="7" t="n">
        <f aca="false">A16-1965</f>
        <v>14</v>
      </c>
      <c r="C16" s="7" t="n">
        <f aca="false">B16^2</f>
        <v>196</v>
      </c>
      <c r="D16" s="7" t="n">
        <f aca="false">B16^3</f>
        <v>2744</v>
      </c>
      <c r="E16" s="8" t="n">
        <v>264.34</v>
      </c>
      <c r="F16" s="8" t="n">
        <v>242</v>
      </c>
    </row>
    <row r="17" customFormat="false" ht="15" hidden="false" customHeight="false" outlineLevel="0" collapsed="false">
      <c r="A17" s="7" t="n">
        <v>1980</v>
      </c>
      <c r="B17" s="7" t="n">
        <f aca="false">A17-1965</f>
        <v>15</v>
      </c>
      <c r="C17" s="7" t="n">
        <f aca="false">B17^2</f>
        <v>225</v>
      </c>
      <c r="D17" s="7" t="n">
        <f aca="false">B17^3</f>
        <v>3375</v>
      </c>
      <c r="E17" s="8" t="n">
        <v>252.02</v>
      </c>
      <c r="F17" s="8" t="n">
        <v>231.11</v>
      </c>
    </row>
    <row r="18" customFormat="false" ht="15" hidden="false" customHeight="false" outlineLevel="0" collapsed="false">
      <c r="A18" s="7" t="n">
        <v>1981</v>
      </c>
      <c r="B18" s="7" t="n">
        <f aca="false">A18-1965</f>
        <v>16</v>
      </c>
      <c r="C18" s="7" t="n">
        <f aca="false">B18^2</f>
        <v>256</v>
      </c>
      <c r="D18" s="7" t="n">
        <f aca="false">B18^3</f>
        <v>4096</v>
      </c>
      <c r="E18" s="8" t="n">
        <v>246.6</v>
      </c>
      <c r="F18" s="8" t="n">
        <v>227.21</v>
      </c>
    </row>
    <row r="19" customFormat="false" ht="15" hidden="false" customHeight="false" outlineLevel="0" collapsed="false">
      <c r="A19" s="7" t="n">
        <v>1982</v>
      </c>
      <c r="B19" s="7" t="n">
        <f aca="false">A19-1965</f>
        <v>17</v>
      </c>
      <c r="C19" s="7" t="n">
        <f aca="false">B19^2</f>
        <v>289</v>
      </c>
      <c r="D19" s="7" t="n">
        <f aca="false">B19^3</f>
        <v>4913</v>
      </c>
      <c r="E19" s="8" t="n">
        <v>242.48</v>
      </c>
      <c r="F19" s="8" t="n">
        <v>222.82</v>
      </c>
    </row>
    <row r="20" customFormat="false" ht="15" hidden="false" customHeight="false" outlineLevel="0" collapsed="false">
      <c r="A20" s="7" t="n">
        <v>1983</v>
      </c>
      <c r="B20" s="7" t="n">
        <f aca="false">A20-1965</f>
        <v>18</v>
      </c>
      <c r="C20" s="7" t="n">
        <f aca="false">B20^2</f>
        <v>324</v>
      </c>
      <c r="D20" s="7" t="n">
        <f aca="false">B20^3</f>
        <v>5832</v>
      </c>
      <c r="E20" s="8" t="n">
        <v>246.15</v>
      </c>
      <c r="F20" s="8" t="n">
        <v>226.09</v>
      </c>
    </row>
    <row r="21" customFormat="false" ht="15" hidden="false" customHeight="false" outlineLevel="0" collapsed="false">
      <c r="A21" s="7" t="n">
        <v>1984</v>
      </c>
      <c r="B21" s="7" t="n">
        <f aca="false">A21-1965</f>
        <v>19</v>
      </c>
      <c r="C21" s="7" t="n">
        <f aca="false">B21^2</f>
        <v>361</v>
      </c>
      <c r="D21" s="7" t="n">
        <f aca="false">B21^3</f>
        <v>6859</v>
      </c>
      <c r="E21" s="8" t="n">
        <v>251.47</v>
      </c>
      <c r="F21" s="8" t="n">
        <v>230.96</v>
      </c>
    </row>
    <row r="22" customFormat="false" ht="15" hidden="false" customHeight="false" outlineLevel="0" collapsed="false">
      <c r="A22" s="7" t="n">
        <v>1985</v>
      </c>
      <c r="B22" s="7" t="n">
        <f aca="false">A22-1965</f>
        <v>20</v>
      </c>
      <c r="C22" s="7" t="n">
        <f aca="false">B22^2</f>
        <v>400</v>
      </c>
      <c r="D22" s="7" t="n">
        <f aca="false">B22^3</f>
        <v>8000</v>
      </c>
      <c r="E22" s="8" t="n">
        <v>263.56</v>
      </c>
      <c r="F22" s="8" t="n">
        <v>241.85</v>
      </c>
    </row>
    <row r="23" customFormat="false" ht="15" hidden="false" customHeight="false" outlineLevel="0" collapsed="false">
      <c r="A23" s="7" t="n">
        <v>1986</v>
      </c>
      <c r="B23" s="7" t="n">
        <f aca="false">A23-1965</f>
        <v>21</v>
      </c>
      <c r="C23" s="7" t="n">
        <f aca="false">B23^2</f>
        <v>441</v>
      </c>
      <c r="D23" s="7" t="n">
        <f aca="false">B23^3</f>
        <v>9261</v>
      </c>
      <c r="E23" s="8" t="n">
        <v>266.81</v>
      </c>
      <c r="F23" s="8" t="n">
        <v>249.34</v>
      </c>
    </row>
    <row r="24" customFormat="false" ht="15" hidden="false" customHeight="false" outlineLevel="0" collapsed="false">
      <c r="A24" s="7" t="n">
        <v>1987</v>
      </c>
      <c r="B24" s="7" t="n">
        <f aca="false">A24-1965</f>
        <v>22</v>
      </c>
      <c r="C24" s="7" t="n">
        <f aca="false">B24^2</f>
        <v>484</v>
      </c>
      <c r="D24" s="7" t="n">
        <f aca="false">B24^3</f>
        <v>10648</v>
      </c>
      <c r="E24" s="8" t="n">
        <v>279.71</v>
      </c>
      <c r="F24" s="8" t="n">
        <v>268.38</v>
      </c>
    </row>
    <row r="25" customFormat="false" ht="15" hidden="false" customHeight="false" outlineLevel="0" collapsed="false">
      <c r="A25" s="7" t="n">
        <v>1988</v>
      </c>
      <c r="B25" s="7" t="n">
        <f aca="false">A25-1965</f>
        <v>23</v>
      </c>
      <c r="C25" s="7" t="n">
        <f aca="false">B25^2</f>
        <v>529</v>
      </c>
      <c r="D25" s="7" t="n">
        <f aca="false">B25^3</f>
        <v>12167</v>
      </c>
      <c r="E25" s="8" t="n">
        <v>285.71</v>
      </c>
      <c r="F25" s="8" t="n">
        <v>274.5</v>
      </c>
    </row>
    <row r="26" customFormat="false" ht="15" hidden="false" customHeight="false" outlineLevel="0" collapsed="false">
      <c r="A26" s="7" t="n">
        <v>1989</v>
      </c>
      <c r="B26" s="7" t="n">
        <f aca="false">A26-1965</f>
        <v>24</v>
      </c>
      <c r="C26" s="7" t="n">
        <f aca="false">B26^2</f>
        <v>576</v>
      </c>
      <c r="D26" s="7" t="n">
        <f aca="false">B26^3</f>
        <v>13824</v>
      </c>
      <c r="E26" s="8" t="n">
        <v>291.75</v>
      </c>
      <c r="F26" s="8" t="n">
        <v>279.4</v>
      </c>
    </row>
    <row r="27" customFormat="false" ht="15" hidden="false" customHeight="false" outlineLevel="0" collapsed="false">
      <c r="A27" s="7" t="n">
        <v>1990</v>
      </c>
      <c r="B27" s="7" t="n">
        <f aca="false">A27-1965</f>
        <v>25</v>
      </c>
      <c r="C27" s="7" t="n">
        <f aca="false">B27^2</f>
        <v>625</v>
      </c>
      <c r="D27" s="7" t="n">
        <f aca="false">B27^3</f>
        <v>15625</v>
      </c>
      <c r="E27" s="8" t="n">
        <v>297.5</v>
      </c>
      <c r="F27" s="8" t="n">
        <v>284.42</v>
      </c>
    </row>
    <row r="28" customFormat="false" ht="15" hidden="false" customHeight="false" outlineLevel="0" collapsed="false">
      <c r="A28" s="7" t="n">
        <v>1991</v>
      </c>
      <c r="B28" s="7" t="n">
        <f aca="false">A28-1965</f>
        <v>26</v>
      </c>
      <c r="C28" s="7" t="n">
        <f aca="false">B28^2</f>
        <v>676</v>
      </c>
      <c r="D28" s="7" t="n">
        <f aca="false">B28^3</f>
        <v>17576</v>
      </c>
      <c r="E28" s="8" t="n">
        <v>300.65</v>
      </c>
      <c r="F28" s="8" t="n">
        <v>290.84</v>
      </c>
    </row>
    <row r="29" customFormat="false" ht="15" hidden="false" customHeight="false" outlineLevel="0" collapsed="false">
      <c r="A29" s="7" t="n">
        <v>1992</v>
      </c>
      <c r="B29" s="7" t="n">
        <f aca="false">A29-1965</f>
        <v>27</v>
      </c>
      <c r="C29" s="7" t="n">
        <f aca="false">B29^2</f>
        <v>729</v>
      </c>
      <c r="D29" s="7" t="n">
        <f aca="false">B29^3</f>
        <v>19683</v>
      </c>
      <c r="E29" s="8" t="n">
        <v>298.55</v>
      </c>
      <c r="F29" s="8" t="n">
        <v>291.45</v>
      </c>
    </row>
    <row r="30" customFormat="false" ht="15" hidden="false" customHeight="false" outlineLevel="0" collapsed="false">
      <c r="A30" s="7" t="n">
        <v>1993</v>
      </c>
      <c r="B30" s="7" t="n">
        <f aca="false">A30-1965</f>
        <v>28</v>
      </c>
      <c r="C30" s="7" t="n">
        <f aca="false">B30^2</f>
        <v>784</v>
      </c>
      <c r="D30" s="7" t="n">
        <f aca="false">B30^3</f>
        <v>21952</v>
      </c>
      <c r="E30" s="8" t="n">
        <v>301.87</v>
      </c>
      <c r="F30" s="8" t="n">
        <v>295.75</v>
      </c>
    </row>
    <row r="31" customFormat="false" ht="15" hidden="false" customHeight="false" outlineLevel="0" collapsed="false">
      <c r="A31" s="7" t="n">
        <v>1994</v>
      </c>
      <c r="B31" s="7" t="n">
        <f aca="false">A31-1965</f>
        <v>29</v>
      </c>
      <c r="C31" s="7" t="n">
        <f aca="false">B31^2</f>
        <v>841</v>
      </c>
      <c r="D31" s="7" t="n">
        <f aca="false">B31^3</f>
        <v>24389</v>
      </c>
      <c r="E31" s="8" t="n">
        <v>306.94</v>
      </c>
      <c r="F31" s="8" t="n">
        <v>292.83</v>
      </c>
    </row>
    <row r="32" customFormat="false" ht="15" hidden="false" customHeight="false" outlineLevel="0" collapsed="false">
      <c r="A32" s="7" t="n">
        <v>1995</v>
      </c>
      <c r="B32" s="7" t="n">
        <f aca="false">A32-1965</f>
        <v>30</v>
      </c>
      <c r="C32" s="7" t="n">
        <f aca="false">B32^2</f>
        <v>900</v>
      </c>
      <c r="D32" s="7" t="n">
        <f aca="false">B32^3</f>
        <v>27000</v>
      </c>
      <c r="E32" s="8" t="n">
        <v>317.63</v>
      </c>
      <c r="F32" s="8" t="n">
        <v>303.92</v>
      </c>
    </row>
    <row r="33" customFormat="false" ht="15" hidden="false" customHeight="false" outlineLevel="0" collapsed="false">
      <c r="A33" s="7" t="n">
        <v>1996</v>
      </c>
      <c r="B33" s="7" t="n">
        <f aca="false">A33-1965</f>
        <v>31</v>
      </c>
      <c r="C33" s="7" t="n">
        <f aca="false">B33^2</f>
        <v>961</v>
      </c>
      <c r="D33" s="7" t="n">
        <f aca="false">B33^3</f>
        <v>29791</v>
      </c>
      <c r="E33" s="8" t="n">
        <v>332.359</v>
      </c>
      <c r="F33" s="8" t="n">
        <v>319.7782</v>
      </c>
    </row>
    <row r="34" customFormat="false" ht="15" hidden="false" customHeight="false" outlineLevel="0" collapsed="false">
      <c r="A34" s="7" t="n">
        <v>1997</v>
      </c>
      <c r="B34" s="7" t="n">
        <f aca="false">A34-1965</f>
        <v>32</v>
      </c>
      <c r="C34" s="7" t="n">
        <f aca="false">B34^2</f>
        <v>1024</v>
      </c>
      <c r="D34" s="7" t="n">
        <f aca="false">B34^3</f>
        <v>32768</v>
      </c>
      <c r="E34" s="8" t="n">
        <v>331.629</v>
      </c>
      <c r="F34" s="8" t="n">
        <v>321.065</v>
      </c>
    </row>
    <row r="35" customFormat="false" ht="15" hidden="false" customHeight="false" outlineLevel="0" collapsed="false">
      <c r="A35" s="7" t="n">
        <v>1998</v>
      </c>
      <c r="B35" s="7" t="n">
        <f aca="false">A35-1965</f>
        <v>33</v>
      </c>
      <c r="C35" s="7" t="n">
        <f aca="false">B35^2</f>
        <v>1089</v>
      </c>
      <c r="D35" s="7" t="n">
        <f aca="false">B35^3</f>
        <v>35937</v>
      </c>
      <c r="E35" s="8" t="n">
        <v>342.7</v>
      </c>
      <c r="F35" s="8" t="n">
        <v>325.35</v>
      </c>
    </row>
    <row r="36" customFormat="false" ht="15" hidden="false" customHeight="false" outlineLevel="0" collapsed="false">
      <c r="A36" s="7" t="n">
        <v>1999</v>
      </c>
      <c r="B36" s="7" t="n">
        <f aca="false">A36-1965</f>
        <v>34</v>
      </c>
      <c r="C36" s="7" t="n">
        <f aca="false">B36^2</f>
        <v>1156</v>
      </c>
      <c r="D36" s="7" t="n">
        <f aca="false">B36^3</f>
        <v>39304</v>
      </c>
      <c r="E36" s="8" t="n">
        <v>347.671</v>
      </c>
      <c r="F36" s="8" t="n">
        <v>332.0529</v>
      </c>
    </row>
    <row r="37" customFormat="false" ht="15" hidden="false" customHeight="false" outlineLevel="0" collapsed="false">
      <c r="A37" s="7" t="n">
        <v>2000</v>
      </c>
      <c r="B37" s="7" t="n">
        <f aca="false">A37-1965</f>
        <v>35</v>
      </c>
      <c r="C37" s="7" t="n">
        <f aca="false">B37^2</f>
        <v>1225</v>
      </c>
      <c r="D37" s="7" t="n">
        <f aca="false">B37^3</f>
        <v>42875</v>
      </c>
      <c r="E37" s="8" t="n">
        <v>357.266</v>
      </c>
      <c r="F37" s="8" t="n">
        <v>340.296</v>
      </c>
    </row>
    <row r="38" customFormat="false" ht="15" hidden="false" customHeight="false" outlineLevel="0" collapsed="false">
      <c r="A38" s="7" t="n">
        <v>2001</v>
      </c>
      <c r="B38" s="7" t="n">
        <f aca="false">A38-1965</f>
        <v>36</v>
      </c>
      <c r="C38" s="7" t="n">
        <f aca="false">B38^2</f>
        <v>1296</v>
      </c>
      <c r="D38" s="7" t="n">
        <f aca="false">B38^3</f>
        <v>46656</v>
      </c>
      <c r="E38" s="8" t="n">
        <v>364.174</v>
      </c>
      <c r="F38" s="8" t="n">
        <v>342.504</v>
      </c>
    </row>
    <row r="39" customFormat="false" ht="15" hidden="false" customHeight="false" outlineLevel="0" collapsed="false">
      <c r="A39" s="7" t="n">
        <v>2002</v>
      </c>
      <c r="B39" s="7" t="n">
        <f aca="false">A39-1965</f>
        <v>37</v>
      </c>
      <c r="C39" s="7" t="n">
        <f aca="false">B39^2</f>
        <v>1369</v>
      </c>
      <c r="D39" s="7" t="n">
        <f aca="false">B39^3</f>
        <v>50653</v>
      </c>
      <c r="E39" s="8" t="n">
        <v>366.658</v>
      </c>
      <c r="F39" s="8" t="n">
        <v>344.109</v>
      </c>
    </row>
    <row r="40" customFormat="false" ht="15" hidden="false" customHeight="false" outlineLevel="0" collapsed="false">
      <c r="A40" s="7" t="n">
        <v>2003</v>
      </c>
      <c r="B40" s="7" t="n">
        <f aca="false">A40-1965</f>
        <v>38</v>
      </c>
      <c r="C40" s="7" t="n">
        <f aca="false">B40^2</f>
        <v>1444</v>
      </c>
      <c r="D40" s="7" t="n">
        <f aca="false">B40^3</f>
        <v>54872</v>
      </c>
      <c r="E40" s="8" t="n">
        <v>376.527</v>
      </c>
      <c r="F40" s="8" t="n">
        <v>346.617</v>
      </c>
    </row>
    <row r="41" customFormat="false" ht="15" hidden="false" customHeight="false" outlineLevel="0" collapsed="false">
      <c r="A41" s="7" t="n">
        <v>2004</v>
      </c>
      <c r="B41" s="7" t="n">
        <f aca="false">A41-1965</f>
        <v>39</v>
      </c>
      <c r="C41" s="7" t="n">
        <f aca="false">B41^2</f>
        <v>1521</v>
      </c>
      <c r="D41" s="7" t="n">
        <f aca="false">B41^3</f>
        <v>59319</v>
      </c>
      <c r="E41" s="8" t="n">
        <v>373.399</v>
      </c>
      <c r="F41" s="8" t="n">
        <v>347.714</v>
      </c>
    </row>
    <row r="42" customFormat="false" ht="15" hidden="false" customHeight="false" outlineLevel="0" collapsed="false">
      <c r="A42" s="7" t="n">
        <v>2005</v>
      </c>
      <c r="B42" s="7" t="n">
        <f aca="false">A42-1965</f>
        <v>40</v>
      </c>
      <c r="C42" s="7" t="n">
        <f aca="false">B42^2</f>
        <v>1600</v>
      </c>
      <c r="D42" s="7" t="n">
        <f aca="false">B42^3</f>
        <v>64000</v>
      </c>
      <c r="E42" s="8" t="n">
        <v>376.78</v>
      </c>
      <c r="F42" s="8" t="n">
        <v>357.199</v>
      </c>
    </row>
    <row r="43" customFormat="false" ht="15" hidden="false" customHeight="false" outlineLevel="0" collapsed="false">
      <c r="A43" s="7" t="n">
        <v>2006</v>
      </c>
      <c r="B43" s="7" t="n">
        <f aca="false">A43-1965</f>
        <v>41</v>
      </c>
      <c r="C43" s="7" t="n">
        <f aca="false">B43^2</f>
        <v>1681</v>
      </c>
      <c r="D43" s="7" t="n">
        <f aca="false">B43^3</f>
        <v>68921</v>
      </c>
      <c r="E43" s="8" t="n">
        <v>373.861</v>
      </c>
      <c r="F43" s="8" t="n">
        <v>353.863</v>
      </c>
    </row>
    <row r="44" customFormat="false" ht="15" hidden="false" customHeight="false" outlineLevel="0" collapsed="false">
      <c r="A44" s="7" t="n">
        <v>2007</v>
      </c>
      <c r="B44" s="7" t="n">
        <f aca="false">A44-1965</f>
        <v>42</v>
      </c>
      <c r="C44" s="7" t="n">
        <f aca="false">B44^2</f>
        <v>1764</v>
      </c>
      <c r="D44" s="7" t="n">
        <f aca="false">B44^3</f>
        <v>74088</v>
      </c>
      <c r="E44" s="8" t="n">
        <v>374.064</v>
      </c>
      <c r="F44" s="8" t="n">
        <v>351.449</v>
      </c>
    </row>
    <row r="45" customFormat="false" ht="15" hidden="false" customHeight="false" outlineLevel="0" collapsed="false">
      <c r="A45" s="7" t="n">
        <v>2008</v>
      </c>
      <c r="B45" s="7" t="n">
        <f aca="false">A45-1965</f>
        <v>43</v>
      </c>
      <c r="C45" s="7" t="n">
        <f aca="false">B45^2</f>
        <v>1849</v>
      </c>
      <c r="D45" s="7" t="n">
        <f aca="false">B45^3</f>
        <v>79507</v>
      </c>
      <c r="E45" s="8" t="n">
        <v>367.18</v>
      </c>
      <c r="F45" s="8" t="n">
        <v>349.53</v>
      </c>
    </row>
    <row r="46" customFormat="false" ht="15" hidden="false" customHeight="false" outlineLevel="0" collapsed="false">
      <c r="A46" s="7" t="n">
        <v>2009</v>
      </c>
      <c r="B46" s="7" t="n">
        <f aca="false">A46-1965</f>
        <v>44</v>
      </c>
      <c r="C46" s="7" t="n">
        <f aca="false">B46^2</f>
        <v>1936</v>
      </c>
      <c r="D46" s="7" t="n">
        <f aca="false">B46^3</f>
        <v>85184</v>
      </c>
      <c r="E46" s="8" t="n">
        <v>355.31</v>
      </c>
      <c r="F46" s="8" t="n">
        <v>329.42</v>
      </c>
    </row>
    <row r="47" customFormat="false" ht="15" hidden="false" customHeight="false" outlineLevel="0" collapsed="false">
      <c r="A47" s="7" t="n">
        <v>2010</v>
      </c>
      <c r="B47" s="7" t="n">
        <f aca="false">A47-1965</f>
        <v>45</v>
      </c>
      <c r="C47" s="7" t="n">
        <f aca="false">B47^2</f>
        <v>2025</v>
      </c>
      <c r="D47" s="7" t="n">
        <f aca="false">B47^3</f>
        <v>91125</v>
      </c>
      <c r="E47" s="8" t="n">
        <v>361.73</v>
      </c>
      <c r="F47" s="8" t="n">
        <v>337.51</v>
      </c>
    </row>
    <row r="48" customFormat="false" ht="15" hidden="false" customHeight="false" outlineLevel="0" collapsed="false">
      <c r="A48" s="7" t="n">
        <v>2011</v>
      </c>
      <c r="B48" s="7" t="n">
        <f aca="false">A48-1965</f>
        <v>46</v>
      </c>
      <c r="C48" s="7" t="n">
        <f aca="false">B48^2</f>
        <v>2116</v>
      </c>
      <c r="D48" s="7" t="n">
        <f aca="false">B48^3</f>
        <v>97336</v>
      </c>
      <c r="E48" s="8" t="n">
        <v>347.69</v>
      </c>
      <c r="F48" s="8" t="n">
        <v>325.92</v>
      </c>
    </row>
    <row r="49" customFormat="false" ht="15" hidden="false" customHeight="false" outlineLevel="0" collapsed="false">
      <c r="A49" s="7" t="n">
        <v>2012</v>
      </c>
      <c r="B49" s="7" t="n">
        <f aca="false">A49-1965</f>
        <v>47</v>
      </c>
      <c r="C49" s="7" t="n">
        <f aca="false">B49^2</f>
        <v>2209</v>
      </c>
      <c r="D49" s="7" t="n">
        <f aca="false">B49^3</f>
        <v>103823</v>
      </c>
      <c r="E49" s="8" t="n">
        <v>341.91</v>
      </c>
      <c r="F49" s="8" t="n">
        <v>325.48</v>
      </c>
    </row>
    <row r="50" customFormat="false" ht="15" hidden="false" customHeight="false" outlineLevel="0" collapsed="false">
      <c r="A50" s="7" t="n">
        <v>2013</v>
      </c>
      <c r="B50" s="7" t="n">
        <f aca="false">A50-1965</f>
        <v>48</v>
      </c>
      <c r="C50" s="7" t="n">
        <f aca="false">B50^2</f>
        <v>2304</v>
      </c>
      <c r="D50" s="7" t="n">
        <f aca="false">B50^3</f>
        <v>110592</v>
      </c>
      <c r="E50" s="8" t="n">
        <v>336.5</v>
      </c>
      <c r="F50" s="8" t="n">
        <v>324.38</v>
      </c>
    </row>
    <row r="51" customFormat="false" ht="15" hidden="false" customHeight="false" outlineLevel="0" collapsed="false">
      <c r="A51" s="7" t="n">
        <v>2014</v>
      </c>
      <c r="B51" s="7" t="n">
        <f aca="false">A51-1965</f>
        <v>49</v>
      </c>
      <c r="C51" s="7" t="n">
        <f aca="false">B51^2</f>
        <v>2401</v>
      </c>
      <c r="D51" s="7" t="n">
        <f aca="false">B51^3</f>
        <v>117649</v>
      </c>
      <c r="E51" s="8" t="n">
        <v>317.73</v>
      </c>
      <c r="F51" s="8" t="n">
        <v>310.8</v>
      </c>
    </row>
    <row r="52" customFormat="false" ht="15" hidden="false" customHeight="false" outlineLevel="0" collapsed="false">
      <c r="A52" s="7" t="n">
        <v>2015</v>
      </c>
      <c r="B52" s="7" t="n">
        <f aca="false">A52-1965</f>
        <v>50</v>
      </c>
      <c r="C52" s="7" t="n">
        <f aca="false">B52^2</f>
        <v>2500</v>
      </c>
      <c r="D52" s="7" t="n">
        <f aca="false">B52^3</f>
        <v>125000</v>
      </c>
      <c r="E52" s="8" t="n">
        <v>318.51</v>
      </c>
      <c r="F52" s="8" t="n">
        <v>311.42</v>
      </c>
    </row>
    <row r="53" customFormat="false" ht="15" hidden="false" customHeight="false" outlineLevel="0" collapsed="false">
      <c r="A53" s="7" t="n">
        <v>2016</v>
      </c>
      <c r="B53" s="7" t="n">
        <f aca="false">A53-1965</f>
        <v>51</v>
      </c>
      <c r="C53" s="7" t="n">
        <f aca="false">B53^2</f>
        <v>2601</v>
      </c>
      <c r="D53" s="7" t="n">
        <f aca="false">B53^3</f>
        <v>132651</v>
      </c>
      <c r="E53" s="8" t="n">
        <v>319.88</v>
      </c>
      <c r="F53" s="8" t="n">
        <v>311.3</v>
      </c>
    </row>
    <row r="54" customFormat="false" ht="15" hidden="false" customHeight="false" outlineLevel="0" collapsed="false">
      <c r="A54" s="7" t="n">
        <v>2017</v>
      </c>
      <c r="B54" s="7" t="n">
        <f aca="false">A54-1965</f>
        <v>52</v>
      </c>
      <c r="C54" s="7" t="n">
        <f aca="false">B54^2</f>
        <v>2704</v>
      </c>
      <c r="D54" s="7" t="n">
        <f aca="false">B54^3</f>
        <v>140608</v>
      </c>
      <c r="E54" s="8" t="n">
        <v>318.8679</v>
      </c>
      <c r="F54" s="8" t="n">
        <v>306.4478</v>
      </c>
    </row>
    <row r="55" customFormat="false" ht="15" hidden="false" customHeight="false" outlineLevel="0" collapsed="false">
      <c r="A55" s="7" t="n">
        <v>2018</v>
      </c>
      <c r="B55" s="7" t="n">
        <f aca="false">A55-1965</f>
        <v>53</v>
      </c>
      <c r="C55" s="7" t="n">
        <f aca="false">B55^2</f>
        <v>2809</v>
      </c>
      <c r="D55" s="7" t="n">
        <f aca="false">B55^3</f>
        <v>148877</v>
      </c>
      <c r="E55" s="8" t="n">
        <v>315.1617</v>
      </c>
      <c r="F55" s="8" t="n">
        <v>307.3475</v>
      </c>
    </row>
    <row r="56" customFormat="false" ht="15" hidden="false" customHeight="false" outlineLevel="0" collapsed="false">
      <c r="A56" s="7" t="n">
        <v>2019</v>
      </c>
      <c r="B56" s="7" t="n">
        <f aca="false">A56-1965</f>
        <v>54</v>
      </c>
      <c r="C56" s="7" t="n">
        <f aca="false">B56^2</f>
        <v>2916</v>
      </c>
      <c r="D56" s="7" t="n">
        <f aca="false">B56^3</f>
        <v>157464</v>
      </c>
      <c r="E56" s="8" t="n">
        <v>310.2063</v>
      </c>
      <c r="F56" s="8" t="n">
        <v>304.1131</v>
      </c>
    </row>
    <row r="57" customFormat="false" ht="15" hidden="false" customHeight="false" outlineLevel="0" collapsed="false">
      <c r="A57" s="7" t="n">
        <v>2020</v>
      </c>
      <c r="B57" s="7" t="n">
        <f aca="false">A57-1965</f>
        <v>55</v>
      </c>
      <c r="C57" s="7" t="n">
        <f aca="false">B57^2</f>
        <v>3025</v>
      </c>
      <c r="D57" s="7" t="n">
        <f aca="false">B57^3</f>
        <v>166375</v>
      </c>
      <c r="E57" s="8" t="n">
        <v>296.1754</v>
      </c>
      <c r="F57" s="8" t="n">
        <v>286.6395</v>
      </c>
    </row>
    <row r="58" customFormat="false" ht="15" hidden="false" customHeight="false" outlineLevel="0" collapsed="false">
      <c r="A58" s="7" t="n">
        <v>2021</v>
      </c>
      <c r="B58" s="7" t="n">
        <f aca="false">A58-1965</f>
        <v>56</v>
      </c>
      <c r="C58" s="7" t="n">
        <f aca="false">B58^2</f>
        <v>3136</v>
      </c>
      <c r="D58" s="7" t="n">
        <f aca="false">B58^3</f>
        <v>175616</v>
      </c>
      <c r="E58" s="8" t="n">
        <v>292.9727</v>
      </c>
      <c r="F58" s="8" t="n">
        <v>290.6887</v>
      </c>
    </row>
    <row r="59" customFormat="false" ht="15" hidden="false" customHeight="false" outlineLevel="0" collapsed="false">
      <c r="A59" s="7" t="n">
        <v>2022</v>
      </c>
      <c r="B59" s="7" t="n">
        <f aca="false">A59-1965</f>
        <v>57</v>
      </c>
      <c r="C59" s="7" t="n">
        <f aca="false">B59^2</f>
        <v>3249</v>
      </c>
      <c r="D59" s="7" t="n">
        <f aca="false">B59^3</f>
        <v>185193</v>
      </c>
      <c r="E59" s="8" t="n">
        <v>310.3539</v>
      </c>
      <c r="F59" s="8" t="n">
        <v>277.9878</v>
      </c>
    </row>
    <row r="60" customFormat="false" ht="15" hidden="false" customHeight="false" outlineLevel="0" collapsed="false">
      <c r="A60" s="7" t="n">
        <v>2023</v>
      </c>
      <c r="B60" s="7" t="n">
        <f aca="false">A60-1965</f>
        <v>58</v>
      </c>
      <c r="C60" s="7" t="n">
        <f aca="false">B60^2</f>
        <v>3364</v>
      </c>
      <c r="D60" s="7" t="n">
        <f aca="false">B60^3</f>
        <v>195112</v>
      </c>
      <c r="E60" s="8" t="n">
        <v>279.1759</v>
      </c>
      <c r="F60" s="8" t="n">
        <v>274.329</v>
      </c>
    </row>
    <row r="61" customFormat="false" ht="15" hidden="false" customHeight="false" outlineLevel="0" collapsed="false">
      <c r="A61" s="7" t="n">
        <v>2024</v>
      </c>
      <c r="B61" s="7" t="n">
        <f aca="false">A61-1965</f>
        <v>59</v>
      </c>
      <c r="C61" s="7" t="n">
        <f aca="false">B61^2</f>
        <v>3481</v>
      </c>
      <c r="D61" s="7" t="n">
        <f aca="false">B61^3</f>
        <v>205379</v>
      </c>
      <c r="E61" s="8" t="n">
        <v>270.8809</v>
      </c>
      <c r="F61" s="8" t="n">
        <v>276.8221</v>
      </c>
    </row>
    <row r="62" customFormat="false" ht="15" hidden="false" customHeight="false" outlineLevel="0" collapsed="false">
      <c r="A62" s="7" t="n">
        <v>2025</v>
      </c>
      <c r="B62" s="7" t="n">
        <f aca="false">A62-1965</f>
        <v>60</v>
      </c>
      <c r="C62" s="7" t="n">
        <f aca="false">B62^2</f>
        <v>3600</v>
      </c>
      <c r="D62" s="7" t="n">
        <f aca="false">B62^3</f>
        <v>216000</v>
      </c>
      <c r="E62" s="8" t="n">
        <v>278.8474</v>
      </c>
      <c r="F62" s="8" t="n">
        <v>280.2018</v>
      </c>
    </row>
    <row r="64" customFormat="false" ht="15" hidden="false" customHeight="false" outlineLevel="0" collapsed="false">
      <c r="A64" s="9" t="s">
        <v>17</v>
      </c>
    </row>
    <row r="65" customFormat="false" ht="15" hidden="false" customHeight="false" outlineLevel="0" collapsed="false">
      <c r="A65" s="9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18"/>
    <col collapsed="false" customWidth="true" hidden="false" outlineLevel="0" max="9" min="6" style="0" width="13"/>
  </cols>
  <sheetData>
    <row r="1" customFormat="false" ht="15" hidden="false" customHeight="false" outlineLevel="0" collapsed="false">
      <c r="B1" s="10" t="s">
        <v>19</v>
      </c>
    </row>
    <row r="2" customFormat="false" ht="15" hidden="false" customHeight="false" outlineLevel="0" collapsed="false">
      <c r="B2" s="9" t="s">
        <v>20</v>
      </c>
    </row>
    <row r="3" customFormat="false" ht="15" hidden="false" customHeight="false" outlineLevel="0" collapsed="false">
      <c r="B3" s="4" t="s">
        <v>21</v>
      </c>
    </row>
    <row r="4" customFormat="false" ht="15" hidden="false" customHeight="false" outlineLevel="0" collapsed="false">
      <c r="B4" s="7" t="s">
        <v>22</v>
      </c>
      <c r="C4" s="11" t="n">
        <v>1965</v>
      </c>
      <c r="D4" s="9" t="s">
        <v>23</v>
      </c>
    </row>
    <row r="5" customFormat="false" ht="15" hidden="false" customHeight="false" outlineLevel="0" collapsed="false">
      <c r="B5" s="7" t="s">
        <v>24</v>
      </c>
      <c r="C5" s="11" t="n">
        <v>2022</v>
      </c>
      <c r="D5" s="9" t="s">
        <v>25</v>
      </c>
    </row>
    <row r="6" customFormat="false" ht="15" hidden="false" customHeight="false" outlineLevel="0" collapsed="false">
      <c r="B6" s="7" t="s">
        <v>26</v>
      </c>
      <c r="C6" s="11" t="n">
        <v>2021</v>
      </c>
    </row>
    <row r="7" customFormat="false" ht="15" hidden="false" customHeight="false" outlineLevel="0" collapsed="false">
      <c r="B7" s="7" t="s">
        <v>27</v>
      </c>
      <c r="C7" s="11" t="n">
        <v>2040</v>
      </c>
    </row>
    <row r="9" customFormat="false" ht="15" hidden="false" customHeight="false" outlineLevel="0" collapsed="false">
      <c r="B9" s="4" t="s">
        <v>28</v>
      </c>
    </row>
    <row r="10" customFormat="false" ht="15" hidden="false" customHeight="false" outlineLevel="0" collapsed="false">
      <c r="B10" s="7" t="s">
        <v>29</v>
      </c>
      <c r="C10" s="11" t="n">
        <f aca="false">MATCH(C4,Data!$A$2:$A$62,0)</f>
        <v>1</v>
      </c>
    </row>
    <row r="11" customFormat="false" ht="15" hidden="false" customHeight="false" outlineLevel="0" collapsed="false">
      <c r="B11" s="7" t="s">
        <v>30</v>
      </c>
      <c r="C11" s="11" t="n">
        <f aca="false">C5-C4+1</f>
        <v>58</v>
      </c>
    </row>
    <row r="13" customFormat="false" ht="15" hidden="false" customHeight="false" outlineLevel="0" collapsed="false">
      <c r="B13" s="4" t="s">
        <v>31</v>
      </c>
    </row>
    <row r="14" customFormat="false" ht="15" hidden="false" customHeight="false" outlineLevel="0" collapsed="false">
      <c r="B14" s="7" t="s">
        <v>32</v>
      </c>
      <c r="C14" s="12" t="n">
        <f aca="true">SLOPE(OFFSET(Data!$F$2,$C$10-1,0,$C$11,1),OFFSET(Data!$B$2,$C$10-1,0,$C$11,1))</f>
        <v>2.81919928942754</v>
      </c>
    </row>
    <row r="15" customFormat="false" ht="15" hidden="false" customHeight="false" outlineLevel="0" collapsed="false">
      <c r="B15" s="7" t="s">
        <v>33</v>
      </c>
      <c r="C15" s="13" t="n">
        <f aca="true">INTERCEPT(OFFSET(Data!$F$2,$C$10-1,0,$C$11,1),OFFSET(Data!$B$2,$C$10-1,0,$C$11,1))</f>
        <v>196.265604734074</v>
      </c>
    </row>
    <row r="16" customFormat="false" ht="15" hidden="false" customHeight="false" outlineLevel="0" collapsed="false">
      <c r="B16" s="7" t="s">
        <v>34</v>
      </c>
      <c r="C16" s="14" t="n">
        <f aca="true">RSQ(OFFSET(Data!$F$2,$C$10-1,0,$C$11,1),OFFSET(Data!$B$2,$C$10-1,0,$C$11,1))</f>
        <v>0.707442358315388</v>
      </c>
    </row>
    <row r="18" customFormat="false" ht="15" hidden="false" customHeight="false" outlineLevel="0" collapsed="false">
      <c r="B18" s="4" t="s">
        <v>35</v>
      </c>
    </row>
    <row r="19" customFormat="false" ht="15" hidden="false" customHeight="false" outlineLevel="0" collapsed="false">
      <c r="B19" s="7" t="s">
        <v>32</v>
      </c>
      <c r="C19" s="12" t="n">
        <f aca="true">SLOPE(OFFSET(Data!$E$2,$C$10-1,0,$C$11,1),OFFSET(Data!$B$2,$C$10-1,0,$C$11,1))</f>
        <v>2.76082902888431</v>
      </c>
    </row>
    <row r="20" customFormat="false" ht="15" hidden="false" customHeight="false" outlineLevel="0" collapsed="false">
      <c r="B20" s="7" t="s">
        <v>33</v>
      </c>
      <c r="C20" s="13" t="n">
        <f aca="true">INTERCEPT(OFFSET(Data!$E$2,$C$10-1,0,$C$11,1),OFFSET(Data!$B$2,$C$10-1,0,$C$11,1))</f>
        <v>214.337681297487</v>
      </c>
    </row>
    <row r="21" customFormat="false" ht="15" hidden="false" customHeight="false" outlineLevel="0" collapsed="false">
      <c r="B21" s="7" t="s">
        <v>34</v>
      </c>
      <c r="C21" s="14" t="n">
        <f aca="true">RSQ(OFFSET(Data!$E$2,$C$10-1,0,$C$11,1),OFFSET(Data!$B$2,$C$10-1,0,$C$11,1))</f>
        <v>0.67117974721821</v>
      </c>
    </row>
    <row r="23" customFormat="false" ht="15" hidden="false" customHeight="false" outlineLevel="0" collapsed="false">
      <c r="B23" s="4" t="s">
        <v>36</v>
      </c>
    </row>
    <row r="24" customFormat="false" ht="15" hidden="false" customHeight="false" outlineLevel="0" collapsed="false">
      <c r="B24" s="7" t="s">
        <v>37</v>
      </c>
      <c r="C24" s="13" t="n">
        <f aca="false">C15+C14*(C7-1965)</f>
        <v>407.705551441139</v>
      </c>
    </row>
    <row r="25" customFormat="false" ht="15" hidden="false" customHeight="false" outlineLevel="0" collapsed="false">
      <c r="B25" s="7" t="s">
        <v>38</v>
      </c>
      <c r="C25" s="13" t="n">
        <f aca="false">C20+C19*(C6-1965)</f>
        <v>368.944106915008</v>
      </c>
    </row>
    <row r="26" customFormat="false" ht="15" hidden="false" customHeight="false" outlineLevel="0" collapsed="false">
      <c r="B26" s="7" t="s">
        <v>39</v>
      </c>
      <c r="C26" s="13" t="n">
        <f aca="false">C15+C14*(C6-1965)</f>
        <v>354.140764942016</v>
      </c>
    </row>
    <row r="27" customFormat="false" ht="15" hidden="false" customHeight="false" outlineLevel="0" collapsed="false">
      <c r="B27" s="7" t="s">
        <v>40</v>
      </c>
      <c r="C27" s="12" t="n">
        <f aca="false">(C24-C25)/(C7-C6)</f>
        <v>2.04007602769112</v>
      </c>
    </row>
    <row r="28" customFormat="false" ht="15" hidden="false" customHeight="false" outlineLevel="0" collapsed="false">
      <c r="B28" s="7" t="s">
        <v>41</v>
      </c>
      <c r="C28" s="12" t="n">
        <f aca="false">C19</f>
        <v>2.76082902888431</v>
      </c>
    </row>
    <row r="29" customFormat="false" ht="15" hidden="false" customHeight="false" outlineLevel="0" collapsed="false">
      <c r="B29" s="4" t="s">
        <v>42</v>
      </c>
      <c r="C29" s="15" t="n">
        <f aca="false">1-C27/C28</f>
        <v>0.261063975223579</v>
      </c>
    </row>
    <row r="31" customFormat="false" ht="15" hidden="false" customHeight="false" outlineLevel="0" collapsed="false">
      <c r="B31" s="7" t="s">
        <v>43</v>
      </c>
      <c r="C31" s="11" t="n">
        <f aca="false">IF(C14&gt;C19,1965+(C20-C15)/(C14-C19),"No crossover")</f>
        <v>2274.61103128925</v>
      </c>
      <c r="D31" s="9" t="s">
        <v>44</v>
      </c>
    </row>
    <row r="33" customFormat="false" ht="15" hidden="false" customHeight="false" outlineLevel="0" collapsed="false">
      <c r="B33" s="4" t="s">
        <v>45</v>
      </c>
      <c r="E33" s="9" t="s">
        <v>46</v>
      </c>
      <c r="F33" s="4" t="s">
        <v>47</v>
      </c>
      <c r="G33" s="4" t="s">
        <v>48</v>
      </c>
      <c r="H33" s="4" t="s">
        <v>49</v>
      </c>
      <c r="I33" s="4" t="s">
        <v>50</v>
      </c>
    </row>
    <row r="34" customFormat="false" ht="15" hidden="false" customHeight="false" outlineLevel="0" collapsed="false">
      <c r="B34" s="7" t="s">
        <v>51</v>
      </c>
      <c r="C34" s="16" t="n">
        <f aca="false">I34+H34*(C7-1965)+G34*(C7-1965)^2+F34*(C7-1965)^3</f>
        <v>-55.5007272395153</v>
      </c>
      <c r="E34" s="9" t="s">
        <v>52</v>
      </c>
      <c r="F34" s="17" t="n">
        <f aca="true" t="array" ref="F34:I34">LINEST(OFFSET(Data!$F$2,$C$10-1,0,$C$11,1),OFFSET(Data!$B$2,$C$10-1,0,$C$11,3))</f>
        <v>-0.00360567679970071</v>
      </c>
      <c r="G34" s="17" t="n">
        <v>0.209869099395596</v>
      </c>
      <c r="H34" s="17" t="n">
        <v>1.46095609179837</v>
      </c>
      <c r="I34" s="17" t="n">
        <v>175.558781649117</v>
      </c>
    </row>
    <row r="35" customFormat="false" ht="15" hidden="false" customHeight="false" outlineLevel="0" collapsed="false">
      <c r="B35" s="7" t="s">
        <v>53</v>
      </c>
      <c r="C35" s="16" t="n">
        <f aca="false">I35+H35*(C7-1965)+G35*(C7-1965)^2+F35*(C7-1965)^3</f>
        <v>-61.3812657501451</v>
      </c>
      <c r="E35" s="9" t="s">
        <v>54</v>
      </c>
      <c r="F35" s="17" t="n">
        <f aca="true" t="array" ref="F35:I35">LINEST(OFFSET(Data!$E$2,$C$10-1,0,$C$11,1),OFFSET(Data!$B$2,$C$10-1,0,$C$11,3))</f>
        <v>-0.00377532869800111</v>
      </c>
      <c r="G35" s="17" t="n">
        <v>0.22092311824649</v>
      </c>
      <c r="H35" s="17" t="n">
        <v>1.27145298965568</v>
      </c>
      <c r="I35" s="17" t="n">
        <v>193.284014358394</v>
      </c>
    </row>
    <row r="36" customFormat="false" ht="15" hidden="false" customHeight="false" outlineLevel="0" collapsed="false">
      <c r="B36" s="7" t="s">
        <v>55</v>
      </c>
      <c r="C36" s="18" t="n">
        <f aca="false">C35-C34</f>
        <v>-5.88053851062978</v>
      </c>
    </row>
    <row r="37" customFormat="false" ht="15" hidden="false" customHeight="false" outlineLevel="0" collapsed="false">
      <c r="B37" s="9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20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0" t="s">
        <v>57</v>
      </c>
    </row>
    <row r="4" customFormat="false" ht="45" hidden="false" customHeight="true" outlineLevel="0" collapsed="false">
      <c r="A4" s="6" t="s">
        <v>58</v>
      </c>
      <c r="B4" s="6" t="s">
        <v>59</v>
      </c>
      <c r="C4" s="6" t="s">
        <v>60</v>
      </c>
      <c r="D4" s="6" t="s">
        <v>61</v>
      </c>
      <c r="E4" s="6" t="s">
        <v>62</v>
      </c>
      <c r="F4" s="6" t="s">
        <v>63</v>
      </c>
    </row>
    <row r="5" customFormat="false" ht="15" hidden="false" customHeight="false" outlineLevel="0" collapsed="false">
      <c r="A5" s="19" t="n">
        <v>0</v>
      </c>
      <c r="B5" s="20" t="n">
        <f aca="false">Model!$C$28*(1-A5)</f>
        <v>2.76082902888431</v>
      </c>
      <c r="C5" s="20" t="n">
        <f aca="false">Model!$C$25+B5*(Model!$C$7-Model!$C$6)</f>
        <v>421.39985846381</v>
      </c>
      <c r="D5" s="20" t="n">
        <f aca="false">Model!$C$24</f>
        <v>407.705551441139</v>
      </c>
      <c r="E5" s="20" t="n">
        <f aca="false">C5-D5</f>
        <v>13.6943070226706</v>
      </c>
      <c r="F5" s="21" t="str">
        <f aca="false">IF(E5&lt;0,"Yes","No")</f>
        <v>No</v>
      </c>
    </row>
    <row r="6" customFormat="false" ht="15" hidden="false" customHeight="false" outlineLevel="0" collapsed="false">
      <c r="A6" s="19" t="n">
        <v>0.025</v>
      </c>
      <c r="B6" s="20" t="n">
        <f aca="false">Model!$C$28*(1-A6)</f>
        <v>2.6918083031622</v>
      </c>
      <c r="C6" s="20" t="n">
        <f aca="false">Model!$C$25+B6*(Model!$C$7-Model!$C$6)</f>
        <v>420.08846467509</v>
      </c>
      <c r="D6" s="20" t="n">
        <f aca="false">Model!$C$24</f>
        <v>407.705551441139</v>
      </c>
      <c r="E6" s="20" t="n">
        <f aca="false">C6-D6</f>
        <v>12.3829132339506</v>
      </c>
      <c r="F6" s="21" t="str">
        <f aca="false">IF(E6&lt;0,"Yes","No")</f>
        <v>No</v>
      </c>
    </row>
    <row r="7" customFormat="false" ht="15" hidden="false" customHeight="false" outlineLevel="0" collapsed="false">
      <c r="A7" s="19" t="n">
        <v>0.05</v>
      </c>
      <c r="B7" s="20" t="n">
        <f aca="false">Model!$C$28*(1-A7)</f>
        <v>2.62278757744009</v>
      </c>
      <c r="C7" s="20" t="n">
        <f aca="false">Model!$C$25+B7*(Model!$C$7-Model!$C$6)</f>
        <v>418.77707088637</v>
      </c>
      <c r="D7" s="20" t="n">
        <f aca="false">Model!$C$24</f>
        <v>407.705551441139</v>
      </c>
      <c r="E7" s="20" t="n">
        <f aca="false">C7-D7</f>
        <v>11.0715194452305</v>
      </c>
      <c r="F7" s="21" t="str">
        <f aca="false">IF(E7&lt;0,"Yes","No")</f>
        <v>No</v>
      </c>
    </row>
    <row r="8" customFormat="false" ht="15" hidden="false" customHeight="false" outlineLevel="0" collapsed="false">
      <c r="A8" s="19" t="n">
        <v>0.075</v>
      </c>
      <c r="B8" s="20" t="n">
        <f aca="false">Model!$C$28*(1-A8)</f>
        <v>2.55376685171799</v>
      </c>
      <c r="C8" s="20" t="n">
        <f aca="false">Model!$C$25+B8*(Model!$C$7-Model!$C$6)</f>
        <v>417.46567709765</v>
      </c>
      <c r="D8" s="20" t="n">
        <f aca="false">Model!$C$24</f>
        <v>407.705551441139</v>
      </c>
      <c r="E8" s="20" t="n">
        <f aca="false">C8-D8</f>
        <v>9.76012565651047</v>
      </c>
      <c r="F8" s="21" t="str">
        <f aca="false">IF(E8&lt;0,"Yes","No")</f>
        <v>No</v>
      </c>
    </row>
    <row r="9" customFormat="false" ht="15" hidden="false" customHeight="false" outlineLevel="0" collapsed="false">
      <c r="A9" s="19" t="n">
        <v>0.1</v>
      </c>
      <c r="B9" s="20" t="n">
        <f aca="false">Model!$C$28*(1-A9)</f>
        <v>2.48474612599588</v>
      </c>
      <c r="C9" s="20" t="n">
        <f aca="false">Model!$C$25+B9*(Model!$C$7-Model!$C$6)</f>
        <v>416.15428330893</v>
      </c>
      <c r="D9" s="20" t="n">
        <f aca="false">Model!$C$24</f>
        <v>407.705551441139</v>
      </c>
      <c r="E9" s="20" t="n">
        <f aca="false">C9-D9</f>
        <v>8.44873186779046</v>
      </c>
      <c r="F9" s="21" t="str">
        <f aca="false">IF(E9&lt;0,"Yes","No")</f>
        <v>No</v>
      </c>
    </row>
    <row r="10" customFormat="false" ht="15" hidden="false" customHeight="false" outlineLevel="0" collapsed="false">
      <c r="A10" s="19" t="n">
        <v>0.125</v>
      </c>
      <c r="B10" s="20" t="n">
        <f aca="false">Model!$C$28*(1-A10)</f>
        <v>2.41572540027377</v>
      </c>
      <c r="C10" s="20" t="n">
        <f aca="false">Model!$C$25+B10*(Model!$C$7-Model!$C$6)</f>
        <v>414.84288952021</v>
      </c>
      <c r="D10" s="20" t="n">
        <f aca="false">Model!$C$24</f>
        <v>407.705551441139</v>
      </c>
      <c r="E10" s="20" t="n">
        <f aca="false">C10-D10</f>
        <v>7.13733807907039</v>
      </c>
      <c r="F10" s="21" t="str">
        <f aca="false">IF(E10&lt;0,"Yes","No")</f>
        <v>No</v>
      </c>
    </row>
    <row r="11" customFormat="false" ht="15" hidden="false" customHeight="false" outlineLevel="0" collapsed="false">
      <c r="A11" s="19" t="n">
        <v>0.15</v>
      </c>
      <c r="B11" s="20" t="n">
        <f aca="false">Model!$C$28*(1-A11)</f>
        <v>2.34670467455166</v>
      </c>
      <c r="C11" s="20" t="n">
        <f aca="false">Model!$C$25+B11*(Model!$C$7-Model!$C$6)</f>
        <v>413.53149573149</v>
      </c>
      <c r="D11" s="20" t="n">
        <f aca="false">Model!$C$24</f>
        <v>407.705551441139</v>
      </c>
      <c r="E11" s="20" t="n">
        <f aca="false">C11-D11</f>
        <v>5.82594429035032</v>
      </c>
      <c r="F11" s="21" t="str">
        <f aca="false">IF(E11&lt;0,"Yes","No")</f>
        <v>No</v>
      </c>
    </row>
    <row r="12" customFormat="false" ht="15" hidden="false" customHeight="false" outlineLevel="0" collapsed="false">
      <c r="A12" s="19" t="n">
        <v>0.175</v>
      </c>
      <c r="B12" s="20" t="n">
        <f aca="false">Model!$C$28*(1-A12)</f>
        <v>2.27768394882956</v>
      </c>
      <c r="C12" s="20" t="n">
        <f aca="false">Model!$C$25+B12*(Model!$C$7-Model!$C$6)</f>
        <v>412.22010194277</v>
      </c>
      <c r="D12" s="20" t="n">
        <f aca="false">Model!$C$24</f>
        <v>407.705551441139</v>
      </c>
      <c r="E12" s="20" t="n">
        <f aca="false">C12-D12</f>
        <v>4.51455050163031</v>
      </c>
      <c r="F12" s="21" t="str">
        <f aca="false">IF(E12&lt;0,"Yes","No")</f>
        <v>No</v>
      </c>
    </row>
    <row r="13" customFormat="false" ht="15" hidden="false" customHeight="false" outlineLevel="0" collapsed="false">
      <c r="A13" s="19" t="n">
        <v>0.2</v>
      </c>
      <c r="B13" s="20" t="n">
        <f aca="false">Model!$C$28*(1-A13)</f>
        <v>2.20866322310745</v>
      </c>
      <c r="C13" s="20" t="n">
        <f aca="false">Model!$C$25+B13*(Model!$C$7-Model!$C$6)</f>
        <v>410.90870815405</v>
      </c>
      <c r="D13" s="20" t="n">
        <f aca="false">Model!$C$24</f>
        <v>407.705551441139</v>
      </c>
      <c r="E13" s="20" t="n">
        <f aca="false">C13-D13</f>
        <v>3.20315671291024</v>
      </c>
      <c r="F13" s="21" t="str">
        <f aca="false">IF(E13&lt;0,"Yes","No")</f>
        <v>No</v>
      </c>
    </row>
    <row r="14" customFormat="false" ht="15" hidden="false" customHeight="false" outlineLevel="0" collapsed="false">
      <c r="A14" s="19" t="n">
        <v>0.225</v>
      </c>
      <c r="B14" s="20" t="n">
        <f aca="false">Model!$C$28*(1-A14)</f>
        <v>2.13964249738534</v>
      </c>
      <c r="C14" s="20" t="n">
        <f aca="false">Model!$C$25+B14*(Model!$C$7-Model!$C$6)</f>
        <v>409.59731436533</v>
      </c>
      <c r="D14" s="20" t="n">
        <f aca="false">Model!$C$24</f>
        <v>407.705551441139</v>
      </c>
      <c r="E14" s="20" t="n">
        <f aca="false">C14-D14</f>
        <v>1.89176292419023</v>
      </c>
      <c r="F14" s="21" t="str">
        <f aca="false">IF(E14&lt;0,"Yes","No")</f>
        <v>No</v>
      </c>
    </row>
    <row r="15" customFormat="false" ht="15" hidden="false" customHeight="false" outlineLevel="0" collapsed="false">
      <c r="A15" s="19" t="n">
        <v>0.25</v>
      </c>
      <c r="B15" s="20" t="n">
        <f aca="false">Model!$C$28*(1-A15)</f>
        <v>2.07062177166323</v>
      </c>
      <c r="C15" s="20" t="n">
        <f aca="false">Model!$C$25+B15*(Model!$C$7-Model!$C$6)</f>
        <v>408.28592057661</v>
      </c>
      <c r="D15" s="20" t="n">
        <f aca="false">Model!$C$24</f>
        <v>407.705551441139</v>
      </c>
      <c r="E15" s="20" t="n">
        <f aca="false">C15-D15</f>
        <v>0.580369135470164</v>
      </c>
      <c r="F15" s="21" t="str">
        <f aca="false">IF(E15&lt;0,"Yes","No")</f>
        <v>No</v>
      </c>
    </row>
    <row r="16" customFormat="false" ht="15" hidden="false" customHeight="false" outlineLevel="0" collapsed="false">
      <c r="A16" s="19" t="n">
        <v>0.275</v>
      </c>
      <c r="B16" s="20" t="n">
        <f aca="false">Model!$C$28*(1-A16)</f>
        <v>2.00160104594112</v>
      </c>
      <c r="C16" s="20" t="n">
        <f aca="false">Model!$C$25+B16*(Model!$C$7-Model!$C$6)</f>
        <v>406.97452678789</v>
      </c>
      <c r="D16" s="20" t="n">
        <f aca="false">Model!$C$24</f>
        <v>407.705551441139</v>
      </c>
      <c r="E16" s="20" t="n">
        <f aca="false">C16-D16</f>
        <v>-0.731024653249904</v>
      </c>
      <c r="F16" s="21" t="str">
        <f aca="false">IF(E16&lt;0,"Yes","No")</f>
        <v>Yes</v>
      </c>
    </row>
    <row r="17" customFormat="false" ht="15" hidden="false" customHeight="false" outlineLevel="0" collapsed="false">
      <c r="A17" s="19" t="n">
        <v>0.3</v>
      </c>
      <c r="B17" s="20" t="n">
        <f aca="false">Model!$C$28*(1-A17)</f>
        <v>1.93258032021902</v>
      </c>
      <c r="C17" s="20" t="n">
        <f aca="false">Model!$C$25+B17*(Model!$C$7-Model!$C$6)</f>
        <v>405.66313299917</v>
      </c>
      <c r="D17" s="20" t="n">
        <f aca="false">Model!$C$24</f>
        <v>407.705551441139</v>
      </c>
      <c r="E17" s="20" t="n">
        <f aca="false">C17-D17</f>
        <v>-2.04241844196991</v>
      </c>
      <c r="F17" s="21" t="str">
        <f aca="false">IF(E17&lt;0,"Yes","No")</f>
        <v>Yes</v>
      </c>
    </row>
    <row r="18" customFormat="false" ht="15" hidden="false" customHeight="false" outlineLevel="0" collapsed="false">
      <c r="A18" s="19" t="n">
        <v>0.325</v>
      </c>
      <c r="B18" s="20" t="n">
        <f aca="false">Model!$C$28*(1-A18)</f>
        <v>1.86355959449691</v>
      </c>
      <c r="C18" s="20" t="n">
        <f aca="false">Model!$C$25+B18*(Model!$C$7-Model!$C$6)</f>
        <v>404.351739210449</v>
      </c>
      <c r="D18" s="20" t="n">
        <f aca="false">Model!$C$24</f>
        <v>407.705551441139</v>
      </c>
      <c r="E18" s="20" t="n">
        <f aca="false">C18-D18</f>
        <v>-3.35381223068998</v>
      </c>
      <c r="F18" s="21" t="str">
        <f aca="false">IF(E18&lt;0,"Yes","No")</f>
        <v>Yes</v>
      </c>
    </row>
    <row r="19" customFormat="false" ht="15" hidden="false" customHeight="false" outlineLevel="0" collapsed="false">
      <c r="A19" s="19" t="n">
        <v>0.35</v>
      </c>
      <c r="B19" s="20" t="n">
        <f aca="false">Model!$C$28*(1-A19)</f>
        <v>1.7945388687748</v>
      </c>
      <c r="C19" s="20" t="n">
        <f aca="false">Model!$C$25+B19*(Model!$C$7-Model!$C$6)</f>
        <v>403.040345421729</v>
      </c>
      <c r="D19" s="20" t="n">
        <f aca="false">Model!$C$24</f>
        <v>407.705551441139</v>
      </c>
      <c r="E19" s="20" t="n">
        <f aca="false">C19-D19</f>
        <v>-4.66520601940999</v>
      </c>
      <c r="F19" s="21" t="str">
        <f aca="false">IF(E19&lt;0,"Yes","No")</f>
        <v>Yes</v>
      </c>
    </row>
    <row r="20" customFormat="false" ht="15" hidden="false" customHeight="false" outlineLevel="0" collapsed="false">
      <c r="A20" s="19" t="n">
        <v>0.375</v>
      </c>
      <c r="B20" s="20" t="n">
        <f aca="false">Model!$C$28*(1-A20)</f>
        <v>1.72551814305269</v>
      </c>
      <c r="C20" s="20" t="n">
        <f aca="false">Model!$C$25+B20*(Model!$C$7-Model!$C$6)</f>
        <v>401.728951633009</v>
      </c>
      <c r="D20" s="20" t="n">
        <f aca="false">Model!$C$24</f>
        <v>407.705551441139</v>
      </c>
      <c r="E20" s="20" t="n">
        <f aca="false">C20-D20</f>
        <v>-5.97659980813006</v>
      </c>
      <c r="F20" s="21" t="str">
        <f aca="false">IF(E20&lt;0,"Yes","No")</f>
        <v>Yes</v>
      </c>
    </row>
    <row r="21" customFormat="false" ht="15" hidden="false" customHeight="false" outlineLevel="0" collapsed="false">
      <c r="A21" s="19" t="n">
        <v>0.4</v>
      </c>
      <c r="B21" s="20" t="n">
        <f aca="false">Model!$C$28*(1-A21)</f>
        <v>1.65649741733059</v>
      </c>
      <c r="C21" s="20" t="n">
        <f aca="false">Model!$C$25+B21*(Model!$C$7-Model!$C$6)</f>
        <v>400.417557844289</v>
      </c>
      <c r="D21" s="20" t="n">
        <f aca="false">Model!$C$24</f>
        <v>407.705551441139</v>
      </c>
      <c r="E21" s="20" t="n">
        <f aca="false">C21-D21</f>
        <v>-7.28799359685013</v>
      </c>
      <c r="F21" s="21" t="str">
        <f aca="false">IF(E21&lt;0,"Yes","No")</f>
        <v>Yes</v>
      </c>
    </row>
    <row r="23" customFormat="false" ht="15" hidden="false" customHeight="false" outlineLevel="0" collapsed="false">
      <c r="A23" s="4" t="s">
        <v>64</v>
      </c>
      <c r="C23" s="22" t="n">
        <f aca="false">Model!$C$29</f>
        <v>0.261063975223579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5" min="2" style="0" width="14"/>
    <col collapsed="false" customWidth="true" hidden="false" outlineLevel="0" max="6" min="6" style="0" width="18"/>
  </cols>
  <sheetData>
    <row r="1" customFormat="false" ht="45" hidden="false" customHeight="true" outlineLevel="0" collapsed="false">
      <c r="A1" s="6" t="s">
        <v>11</v>
      </c>
      <c r="B1" s="6" t="s">
        <v>65</v>
      </c>
      <c r="C1" s="6" t="s">
        <v>66</v>
      </c>
      <c r="D1" s="6" t="s">
        <v>35</v>
      </c>
      <c r="E1" s="6" t="s">
        <v>67</v>
      </c>
      <c r="F1" s="6" t="s">
        <v>68</v>
      </c>
    </row>
    <row r="2" customFormat="false" ht="15" hidden="false" customHeight="false" outlineLevel="0" collapsed="false">
      <c r="A2" s="7" t="n">
        <v>1965</v>
      </c>
      <c r="B2" s="23" t="n">
        <f aca="false">Data!E2</f>
        <v>169.57</v>
      </c>
      <c r="C2" s="23" t="n">
        <f aca="false">Data!F2</f>
        <v>154.71</v>
      </c>
      <c r="D2" s="23" t="n">
        <f aca="false">Model!$C$20+Model!$C$19*(A2-1965)</f>
        <v>214.337681297487</v>
      </c>
      <c r="E2" s="23" t="n">
        <f aca="false">Model!$C$15+Model!$C$14*(A2-1965)</f>
        <v>196.265604734074</v>
      </c>
      <c r="F2" s="24"/>
    </row>
    <row r="3" customFormat="false" ht="15" hidden="false" customHeight="false" outlineLevel="0" collapsed="false">
      <c r="A3" s="7" t="n">
        <v>1966</v>
      </c>
      <c r="B3" s="23" t="n">
        <f aca="false">Data!E3</f>
        <v>175.38</v>
      </c>
      <c r="C3" s="23" t="n">
        <f aca="false">Data!F3</f>
        <v>160.65</v>
      </c>
      <c r="D3" s="23" t="n">
        <f aca="false">Model!$C$20+Model!$C$19*(A3-1965)</f>
        <v>217.098510326371</v>
      </c>
      <c r="E3" s="23" t="n">
        <f aca="false">Model!$C$15+Model!$C$14*(A3-1965)</f>
        <v>199.084804023501</v>
      </c>
      <c r="F3" s="24"/>
    </row>
    <row r="4" customFormat="false" ht="15" hidden="false" customHeight="false" outlineLevel="0" collapsed="false">
      <c r="A4" s="7" t="n">
        <v>1967</v>
      </c>
      <c r="B4" s="23" t="n">
        <f aca="false">Data!E4</f>
        <v>181.14</v>
      </c>
      <c r="C4" s="23" t="n">
        <f aca="false">Data!F4</f>
        <v>165.75</v>
      </c>
      <c r="D4" s="23" t="n">
        <f aca="false">Model!$C$20+Model!$C$19*(A4-1965)</f>
        <v>219.859339355255</v>
      </c>
      <c r="E4" s="23" t="n">
        <f aca="false">Model!$C$15+Model!$C$14*(A4-1965)</f>
        <v>201.904003312929</v>
      </c>
      <c r="F4" s="24"/>
    </row>
    <row r="5" customFormat="false" ht="15" hidden="false" customHeight="false" outlineLevel="0" collapsed="false">
      <c r="A5" s="7" t="n">
        <v>1968</v>
      </c>
      <c r="B5" s="23" t="n">
        <f aca="false">Data!E5</f>
        <v>193.56</v>
      </c>
      <c r="C5" s="23" t="n">
        <f aca="false">Data!F5</f>
        <v>178.2</v>
      </c>
      <c r="D5" s="23" t="n">
        <f aca="false">Model!$C$20+Model!$C$19*(A5-1965)</f>
        <v>222.62016838414</v>
      </c>
      <c r="E5" s="23" t="n">
        <f aca="false">Model!$C$15+Model!$C$14*(A5-1965)</f>
        <v>204.723202602356</v>
      </c>
      <c r="F5" s="24"/>
    </row>
    <row r="6" customFormat="false" ht="15" hidden="false" customHeight="false" outlineLevel="0" collapsed="false">
      <c r="A6" s="7" t="n">
        <v>1969</v>
      </c>
      <c r="B6" s="23" t="n">
        <f aca="false">Data!E6</f>
        <v>206.37</v>
      </c>
      <c r="C6" s="23" t="n">
        <f aca="false">Data!F6</f>
        <v>189.86</v>
      </c>
      <c r="D6" s="23" t="n">
        <f aca="false">Model!$C$20+Model!$C$19*(A6-1965)</f>
        <v>225.380997413024</v>
      </c>
      <c r="E6" s="23" t="n">
        <f aca="false">Model!$C$15+Model!$C$14*(A6-1965)</f>
        <v>207.542401891784</v>
      </c>
      <c r="F6" s="24"/>
    </row>
    <row r="7" customFormat="false" ht="15" hidden="false" customHeight="false" outlineLevel="0" collapsed="false">
      <c r="A7" s="7" t="n">
        <v>1970</v>
      </c>
      <c r="B7" s="23" t="n">
        <f aca="false">Data!E7</f>
        <v>215.76</v>
      </c>
      <c r="C7" s="23" t="n">
        <f aca="false">Data!F7</f>
        <v>199</v>
      </c>
      <c r="D7" s="23" t="n">
        <f aca="false">Model!$C$20+Model!$C$19*(A7-1965)</f>
        <v>228.141826441908</v>
      </c>
      <c r="E7" s="23" t="n">
        <f aca="false">Model!$C$15+Model!$C$14*(A7-1965)</f>
        <v>210.361601181211</v>
      </c>
      <c r="F7" s="24"/>
    </row>
    <row r="8" customFormat="false" ht="15" hidden="false" customHeight="false" outlineLevel="0" collapsed="false">
      <c r="A8" s="7" t="n">
        <v>1971</v>
      </c>
      <c r="B8" s="23" t="n">
        <f aca="false">Data!E8</f>
        <v>222.92</v>
      </c>
      <c r="C8" s="23" t="n">
        <f aca="false">Data!F8</f>
        <v>204.56</v>
      </c>
      <c r="D8" s="23" t="n">
        <f aca="false">Model!$C$20+Model!$C$19*(A8-1965)</f>
        <v>230.902655470793</v>
      </c>
      <c r="E8" s="23" t="n">
        <f aca="false">Model!$C$15+Model!$C$14*(A8-1965)</f>
        <v>213.180800470639</v>
      </c>
      <c r="F8" s="24"/>
    </row>
    <row r="9" customFormat="false" ht="15" hidden="false" customHeight="false" outlineLevel="0" collapsed="false">
      <c r="A9" s="7" t="n">
        <v>1972</v>
      </c>
      <c r="B9" s="23" t="n">
        <f aca="false">Data!E9</f>
        <v>229.45</v>
      </c>
      <c r="C9" s="23" t="n">
        <f aca="false">Data!F9</f>
        <v>211.55</v>
      </c>
      <c r="D9" s="23" t="n">
        <f aca="false">Model!$C$20+Model!$C$19*(A9-1965)</f>
        <v>233.663484499677</v>
      </c>
      <c r="E9" s="23" t="n">
        <f aca="false">Model!$C$15+Model!$C$14*(A9-1965)</f>
        <v>215.999999760066</v>
      </c>
      <c r="F9" s="24"/>
    </row>
    <row r="10" customFormat="false" ht="15" hidden="false" customHeight="false" outlineLevel="0" collapsed="false">
      <c r="A10" s="7" t="n">
        <v>1973</v>
      </c>
      <c r="B10" s="23" t="n">
        <f aca="false">Data!E10</f>
        <v>245.42</v>
      </c>
      <c r="C10" s="23" t="n">
        <f aca="false">Data!F10</f>
        <v>226.48</v>
      </c>
      <c r="D10" s="23" t="n">
        <f aca="false">Model!$C$20+Model!$C$19*(A10-1965)</f>
        <v>236.424313528561</v>
      </c>
      <c r="E10" s="23" t="n">
        <f aca="false">Model!$C$15+Model!$C$14*(A10-1965)</f>
        <v>218.819199049494</v>
      </c>
      <c r="F10" s="24"/>
    </row>
    <row r="11" customFormat="false" ht="15" hidden="false" customHeight="false" outlineLevel="0" collapsed="false">
      <c r="A11" s="7" t="n">
        <v>1974</v>
      </c>
      <c r="B11" s="23" t="n">
        <f aca="false">Data!E11</f>
        <v>237.21</v>
      </c>
      <c r="C11" s="23" t="n">
        <f aca="false">Data!F11</f>
        <v>219.64</v>
      </c>
      <c r="D11" s="23" t="n">
        <f aca="false">Model!$C$20+Model!$C$19*(A11-1965)</f>
        <v>239.185142557446</v>
      </c>
      <c r="E11" s="23" t="n">
        <f aca="false">Model!$C$15+Model!$C$14*(A11-1965)</f>
        <v>221.638398338922</v>
      </c>
      <c r="F11" s="24"/>
    </row>
    <row r="12" customFormat="false" ht="15" hidden="false" customHeight="false" outlineLevel="0" collapsed="false">
      <c r="A12" s="7" t="n">
        <v>1975</v>
      </c>
      <c r="B12" s="23" t="n">
        <f aca="false">Data!E12</f>
        <v>237.76</v>
      </c>
      <c r="C12" s="23" t="n">
        <f aca="false">Data!F12</f>
        <v>219.07</v>
      </c>
      <c r="D12" s="23" t="n">
        <f aca="false">Model!$C$20+Model!$C$19*(A12-1965)</f>
        <v>241.94597158633</v>
      </c>
      <c r="E12" s="23" t="n">
        <f aca="false">Model!$C$15+Model!$C$14*(A12-1965)</f>
        <v>224.457597628349</v>
      </c>
      <c r="F12" s="24"/>
    </row>
    <row r="13" customFormat="false" ht="15" hidden="false" customHeight="false" outlineLevel="0" collapsed="false">
      <c r="A13" s="7" t="n">
        <v>1976</v>
      </c>
      <c r="B13" s="23" t="n">
        <f aca="false">Data!E13</f>
        <v>240.22</v>
      </c>
      <c r="C13" s="23" t="n">
        <f aca="false">Data!F13</f>
        <v>222</v>
      </c>
      <c r="D13" s="23" t="n">
        <f aca="false">Model!$C$20+Model!$C$19*(A13-1965)</f>
        <v>244.706800615214</v>
      </c>
      <c r="E13" s="23" t="n">
        <f aca="false">Model!$C$15+Model!$C$14*(A13-1965)</f>
        <v>227.276796917777</v>
      </c>
      <c r="F13" s="24"/>
    </row>
    <row r="14" customFormat="false" ht="15" hidden="false" customHeight="false" outlineLevel="0" collapsed="false">
      <c r="A14" s="7" t="n">
        <v>1977</v>
      </c>
      <c r="B14" s="23" t="n">
        <f aca="false">Data!E14</f>
        <v>246.82</v>
      </c>
      <c r="C14" s="23" t="n">
        <f aca="false">Data!F14</f>
        <v>226.8</v>
      </c>
      <c r="D14" s="23" t="n">
        <f aca="false">Model!$C$20+Model!$C$19*(A14-1965)</f>
        <v>247.467629644099</v>
      </c>
      <c r="E14" s="23" t="n">
        <f aca="false">Model!$C$15+Model!$C$14*(A14-1965)</f>
        <v>230.095996207204</v>
      </c>
      <c r="F14" s="24"/>
    </row>
    <row r="15" customFormat="false" ht="15" hidden="false" customHeight="false" outlineLevel="0" collapsed="false">
      <c r="A15" s="7" t="n">
        <v>1978</v>
      </c>
      <c r="B15" s="23" t="n">
        <f aca="false">Data!E15</f>
        <v>252.65</v>
      </c>
      <c r="C15" s="23" t="n">
        <f aca="false">Data!F15</f>
        <v>231.42</v>
      </c>
      <c r="D15" s="23" t="n">
        <f aca="false">Model!$C$20+Model!$C$19*(A15-1965)</f>
        <v>250.228458672983</v>
      </c>
      <c r="E15" s="23" t="n">
        <f aca="false">Model!$C$15+Model!$C$14*(A15-1965)</f>
        <v>232.915195496632</v>
      </c>
      <c r="F15" s="24"/>
    </row>
    <row r="16" customFormat="false" ht="15" hidden="false" customHeight="false" outlineLevel="0" collapsed="false">
      <c r="A16" s="7" t="n">
        <v>1979</v>
      </c>
      <c r="B16" s="23" t="n">
        <f aca="false">Data!E16</f>
        <v>264.34</v>
      </c>
      <c r="C16" s="23" t="n">
        <f aca="false">Data!F16</f>
        <v>242</v>
      </c>
      <c r="D16" s="23" t="n">
        <f aca="false">Model!$C$20+Model!$C$19*(A16-1965)</f>
        <v>252.989287701867</v>
      </c>
      <c r="E16" s="23" t="n">
        <f aca="false">Model!$C$15+Model!$C$14*(A16-1965)</f>
        <v>235.734394786059</v>
      </c>
      <c r="F16" s="24"/>
    </row>
    <row r="17" customFormat="false" ht="15" hidden="false" customHeight="false" outlineLevel="0" collapsed="false">
      <c r="A17" s="7" t="n">
        <v>1980</v>
      </c>
      <c r="B17" s="23" t="n">
        <f aca="false">Data!E17</f>
        <v>252.02</v>
      </c>
      <c r="C17" s="23" t="n">
        <f aca="false">Data!F17</f>
        <v>231.11</v>
      </c>
      <c r="D17" s="23" t="n">
        <f aca="false">Model!$C$20+Model!$C$19*(A17-1965)</f>
        <v>255.750116730751</v>
      </c>
      <c r="E17" s="23" t="n">
        <f aca="false">Model!$C$15+Model!$C$14*(A17-1965)</f>
        <v>238.553594075487</v>
      </c>
      <c r="F17" s="24"/>
    </row>
    <row r="18" customFormat="false" ht="15" hidden="false" customHeight="false" outlineLevel="0" collapsed="false">
      <c r="A18" s="7" t="n">
        <v>1981</v>
      </c>
      <c r="B18" s="23" t="n">
        <f aca="false">Data!E18</f>
        <v>246.6</v>
      </c>
      <c r="C18" s="23" t="n">
        <f aca="false">Data!F18</f>
        <v>227.21</v>
      </c>
      <c r="D18" s="23" t="n">
        <f aca="false">Model!$C$20+Model!$C$19*(A18-1965)</f>
        <v>258.510945759636</v>
      </c>
      <c r="E18" s="23" t="n">
        <f aca="false">Model!$C$15+Model!$C$14*(A18-1965)</f>
        <v>241.372793364914</v>
      </c>
      <c r="F18" s="24"/>
    </row>
    <row r="19" customFormat="false" ht="15" hidden="false" customHeight="false" outlineLevel="0" collapsed="false">
      <c r="A19" s="7" t="n">
        <v>1982</v>
      </c>
      <c r="B19" s="23" t="n">
        <f aca="false">Data!E19</f>
        <v>242.48</v>
      </c>
      <c r="C19" s="23" t="n">
        <f aca="false">Data!F19</f>
        <v>222.82</v>
      </c>
      <c r="D19" s="23" t="n">
        <f aca="false">Model!$C$20+Model!$C$19*(A19-1965)</f>
        <v>261.27177478852</v>
      </c>
      <c r="E19" s="23" t="n">
        <f aca="false">Model!$C$15+Model!$C$14*(A19-1965)</f>
        <v>244.191992654342</v>
      </c>
      <c r="F19" s="24"/>
    </row>
    <row r="20" customFormat="false" ht="15" hidden="false" customHeight="false" outlineLevel="0" collapsed="false">
      <c r="A20" s="7" t="n">
        <v>1983</v>
      </c>
      <c r="B20" s="23" t="n">
        <f aca="false">Data!E20</f>
        <v>246.15</v>
      </c>
      <c r="C20" s="23" t="n">
        <f aca="false">Data!F20</f>
        <v>226.09</v>
      </c>
      <c r="D20" s="23" t="n">
        <f aca="false">Model!$C$20+Model!$C$19*(A20-1965)</f>
        <v>264.032603817404</v>
      </c>
      <c r="E20" s="23" t="n">
        <f aca="false">Model!$C$15+Model!$C$14*(A20-1965)</f>
        <v>247.011191943769</v>
      </c>
      <c r="F20" s="24"/>
    </row>
    <row r="21" customFormat="false" ht="15" hidden="false" customHeight="false" outlineLevel="0" collapsed="false">
      <c r="A21" s="7" t="n">
        <v>1984</v>
      </c>
      <c r="B21" s="23" t="n">
        <f aca="false">Data!E21</f>
        <v>251.47</v>
      </c>
      <c r="C21" s="23" t="n">
        <f aca="false">Data!F21</f>
        <v>230.96</v>
      </c>
      <c r="D21" s="23" t="n">
        <f aca="false">Model!$C$20+Model!$C$19*(A21-1965)</f>
        <v>266.793432846289</v>
      </c>
      <c r="E21" s="23" t="n">
        <f aca="false">Model!$C$15+Model!$C$14*(A21-1965)</f>
        <v>249.830391233197</v>
      </c>
      <c r="F21" s="24"/>
    </row>
    <row r="22" customFormat="false" ht="15" hidden="false" customHeight="false" outlineLevel="0" collapsed="false">
      <c r="A22" s="7" t="n">
        <v>1985</v>
      </c>
      <c r="B22" s="23" t="n">
        <f aca="false">Data!E22</f>
        <v>263.56</v>
      </c>
      <c r="C22" s="23" t="n">
        <f aca="false">Data!F22</f>
        <v>241.85</v>
      </c>
      <c r="D22" s="23" t="n">
        <f aca="false">Model!$C$20+Model!$C$19*(A22-1965)</f>
        <v>269.554261875173</v>
      </c>
      <c r="E22" s="23" t="n">
        <f aca="false">Model!$C$15+Model!$C$14*(A22-1965)</f>
        <v>252.649590522625</v>
      </c>
      <c r="F22" s="24"/>
    </row>
    <row r="23" customFormat="false" ht="15" hidden="false" customHeight="false" outlineLevel="0" collapsed="false">
      <c r="A23" s="7" t="n">
        <v>1986</v>
      </c>
      <c r="B23" s="23" t="n">
        <f aca="false">Data!E23</f>
        <v>266.81</v>
      </c>
      <c r="C23" s="23" t="n">
        <f aca="false">Data!F23</f>
        <v>249.34</v>
      </c>
      <c r="D23" s="23" t="n">
        <f aca="false">Model!$C$20+Model!$C$19*(A23-1965)</f>
        <v>272.315090904057</v>
      </c>
      <c r="E23" s="23" t="n">
        <f aca="false">Model!$C$15+Model!$C$14*(A23-1965)</f>
        <v>255.468789812052</v>
      </c>
      <c r="F23" s="24"/>
    </row>
    <row r="24" customFormat="false" ht="15" hidden="false" customHeight="false" outlineLevel="0" collapsed="false">
      <c r="A24" s="7" t="n">
        <v>1987</v>
      </c>
      <c r="B24" s="23" t="n">
        <f aca="false">Data!E24</f>
        <v>279.71</v>
      </c>
      <c r="C24" s="23" t="n">
        <f aca="false">Data!F24</f>
        <v>268.38</v>
      </c>
      <c r="D24" s="23" t="n">
        <f aca="false">Model!$C$20+Model!$C$19*(A24-1965)</f>
        <v>275.075919932942</v>
      </c>
      <c r="E24" s="23" t="n">
        <f aca="false">Model!$C$15+Model!$C$14*(A24-1965)</f>
        <v>258.28798910148</v>
      </c>
      <c r="F24" s="24"/>
    </row>
    <row r="25" customFormat="false" ht="15" hidden="false" customHeight="false" outlineLevel="0" collapsed="false">
      <c r="A25" s="7" t="n">
        <v>1988</v>
      </c>
      <c r="B25" s="23" t="n">
        <f aca="false">Data!E25</f>
        <v>285.71</v>
      </c>
      <c r="C25" s="23" t="n">
        <f aca="false">Data!F25</f>
        <v>274.5</v>
      </c>
      <c r="D25" s="23" t="n">
        <f aca="false">Model!$C$20+Model!$C$19*(A25-1965)</f>
        <v>277.836748961826</v>
      </c>
      <c r="E25" s="23" t="n">
        <f aca="false">Model!$C$15+Model!$C$14*(A25-1965)</f>
        <v>261.107188390907</v>
      </c>
      <c r="F25" s="24"/>
    </row>
    <row r="26" customFormat="false" ht="15" hidden="false" customHeight="false" outlineLevel="0" collapsed="false">
      <c r="A26" s="7" t="n">
        <v>1989</v>
      </c>
      <c r="B26" s="23" t="n">
        <f aca="false">Data!E26</f>
        <v>291.75</v>
      </c>
      <c r="C26" s="23" t="n">
        <f aca="false">Data!F26</f>
        <v>279.4</v>
      </c>
      <c r="D26" s="23" t="n">
        <f aca="false">Model!$C$20+Model!$C$19*(A26-1965)</f>
        <v>280.59757799071</v>
      </c>
      <c r="E26" s="23" t="n">
        <f aca="false">Model!$C$15+Model!$C$14*(A26-1965)</f>
        <v>263.926387680335</v>
      </c>
      <c r="F26" s="24"/>
    </row>
    <row r="27" customFormat="false" ht="15" hidden="false" customHeight="false" outlineLevel="0" collapsed="false">
      <c r="A27" s="7" t="n">
        <v>1990</v>
      </c>
      <c r="B27" s="23" t="n">
        <f aca="false">Data!E27</f>
        <v>297.5</v>
      </c>
      <c r="C27" s="23" t="n">
        <f aca="false">Data!F27</f>
        <v>284.42</v>
      </c>
      <c r="D27" s="23" t="n">
        <f aca="false">Model!$C$20+Model!$C$19*(A27-1965)</f>
        <v>283.358407019595</v>
      </c>
      <c r="E27" s="23" t="n">
        <f aca="false">Model!$C$15+Model!$C$14*(A27-1965)</f>
        <v>266.745586969762</v>
      </c>
      <c r="F27" s="24"/>
    </row>
    <row r="28" customFormat="false" ht="15" hidden="false" customHeight="false" outlineLevel="0" collapsed="false">
      <c r="A28" s="7" t="n">
        <v>1991</v>
      </c>
      <c r="B28" s="23" t="n">
        <f aca="false">Data!E28</f>
        <v>300.65</v>
      </c>
      <c r="C28" s="23" t="n">
        <f aca="false">Data!F28</f>
        <v>290.84</v>
      </c>
      <c r="D28" s="23" t="n">
        <f aca="false">Model!$C$20+Model!$C$19*(A28-1965)</f>
        <v>286.119236048479</v>
      </c>
      <c r="E28" s="23" t="n">
        <f aca="false">Model!$C$15+Model!$C$14*(A28-1965)</f>
        <v>269.56478625919</v>
      </c>
      <c r="F28" s="24"/>
    </row>
    <row r="29" customFormat="false" ht="15" hidden="false" customHeight="false" outlineLevel="0" collapsed="false">
      <c r="A29" s="7" t="n">
        <v>1992</v>
      </c>
      <c r="B29" s="23" t="n">
        <f aca="false">Data!E29</f>
        <v>298.55</v>
      </c>
      <c r="C29" s="23" t="n">
        <f aca="false">Data!F29</f>
        <v>291.45</v>
      </c>
      <c r="D29" s="23" t="n">
        <f aca="false">Model!$C$20+Model!$C$19*(A29-1965)</f>
        <v>288.880065077363</v>
      </c>
      <c r="E29" s="23" t="n">
        <f aca="false">Model!$C$15+Model!$C$14*(A29-1965)</f>
        <v>272.383985548617</v>
      </c>
      <c r="F29" s="24"/>
    </row>
    <row r="30" customFormat="false" ht="15" hidden="false" customHeight="false" outlineLevel="0" collapsed="false">
      <c r="A30" s="7" t="n">
        <v>1993</v>
      </c>
      <c r="B30" s="23" t="n">
        <f aca="false">Data!E30</f>
        <v>301.87</v>
      </c>
      <c r="C30" s="23" t="n">
        <f aca="false">Data!F30</f>
        <v>295.75</v>
      </c>
      <c r="D30" s="23" t="n">
        <f aca="false">Model!$C$20+Model!$C$19*(A30-1965)</f>
        <v>291.640894106248</v>
      </c>
      <c r="E30" s="23" t="n">
        <f aca="false">Model!$C$15+Model!$C$14*(A30-1965)</f>
        <v>275.203184838045</v>
      </c>
      <c r="F30" s="24"/>
    </row>
    <row r="31" customFormat="false" ht="15" hidden="false" customHeight="false" outlineLevel="0" collapsed="false">
      <c r="A31" s="7" t="n">
        <v>1994</v>
      </c>
      <c r="B31" s="23" t="n">
        <f aca="false">Data!E31</f>
        <v>306.94</v>
      </c>
      <c r="C31" s="23" t="n">
        <f aca="false">Data!F31</f>
        <v>292.83</v>
      </c>
      <c r="D31" s="23" t="n">
        <f aca="false">Model!$C$20+Model!$C$19*(A31-1965)</f>
        <v>294.401723135132</v>
      </c>
      <c r="E31" s="23" t="n">
        <f aca="false">Model!$C$15+Model!$C$14*(A31-1965)</f>
        <v>278.022384127472</v>
      </c>
      <c r="F31" s="24"/>
    </row>
    <row r="32" customFormat="false" ht="15" hidden="false" customHeight="false" outlineLevel="0" collapsed="false">
      <c r="A32" s="7" t="n">
        <v>1995</v>
      </c>
      <c r="B32" s="23" t="n">
        <f aca="false">Data!E32</f>
        <v>317.63</v>
      </c>
      <c r="C32" s="23" t="n">
        <f aca="false">Data!F32</f>
        <v>303.92</v>
      </c>
      <c r="D32" s="23" t="n">
        <f aca="false">Model!$C$20+Model!$C$19*(A32-1965)</f>
        <v>297.162552164016</v>
      </c>
      <c r="E32" s="23" t="n">
        <f aca="false">Model!$C$15+Model!$C$14*(A32-1965)</f>
        <v>280.8415834169</v>
      </c>
      <c r="F32" s="24"/>
    </row>
    <row r="33" customFormat="false" ht="15" hidden="false" customHeight="false" outlineLevel="0" collapsed="false">
      <c r="A33" s="7" t="n">
        <v>1996</v>
      </c>
      <c r="B33" s="23" t="n">
        <f aca="false">Data!E33</f>
        <v>332.359</v>
      </c>
      <c r="C33" s="23" t="n">
        <f aca="false">Data!F33</f>
        <v>319.7782</v>
      </c>
      <c r="D33" s="23" t="n">
        <f aca="false">Model!$C$20+Model!$C$19*(A33-1965)</f>
        <v>299.9233811929</v>
      </c>
      <c r="E33" s="23" t="n">
        <f aca="false">Model!$C$15+Model!$C$14*(A33-1965)</f>
        <v>283.660782706328</v>
      </c>
      <c r="F33" s="24"/>
    </row>
    <row r="34" customFormat="false" ht="15" hidden="false" customHeight="false" outlineLevel="0" collapsed="false">
      <c r="A34" s="7" t="n">
        <v>1997</v>
      </c>
      <c r="B34" s="23" t="n">
        <f aca="false">Data!E34</f>
        <v>331.629</v>
      </c>
      <c r="C34" s="23" t="n">
        <f aca="false">Data!F34</f>
        <v>321.065</v>
      </c>
      <c r="D34" s="23" t="n">
        <f aca="false">Model!$C$20+Model!$C$19*(A34-1965)</f>
        <v>302.684210221785</v>
      </c>
      <c r="E34" s="23" t="n">
        <f aca="false">Model!$C$15+Model!$C$14*(A34-1965)</f>
        <v>286.479981995755</v>
      </c>
      <c r="F34" s="24"/>
    </row>
    <row r="35" customFormat="false" ht="15" hidden="false" customHeight="false" outlineLevel="0" collapsed="false">
      <c r="A35" s="7" t="n">
        <v>1998</v>
      </c>
      <c r="B35" s="23" t="n">
        <f aca="false">Data!E35</f>
        <v>342.7</v>
      </c>
      <c r="C35" s="23" t="n">
        <f aca="false">Data!F35</f>
        <v>325.35</v>
      </c>
      <c r="D35" s="23" t="n">
        <f aca="false">Model!$C$20+Model!$C$19*(A35-1965)</f>
        <v>305.445039250669</v>
      </c>
      <c r="E35" s="23" t="n">
        <f aca="false">Model!$C$15+Model!$C$14*(A35-1965)</f>
        <v>289.299181285183</v>
      </c>
      <c r="F35" s="24"/>
    </row>
    <row r="36" customFormat="false" ht="15" hidden="false" customHeight="false" outlineLevel="0" collapsed="false">
      <c r="A36" s="7" t="n">
        <v>1999</v>
      </c>
      <c r="B36" s="23" t="n">
        <f aca="false">Data!E36</f>
        <v>347.671</v>
      </c>
      <c r="C36" s="23" t="n">
        <f aca="false">Data!F36</f>
        <v>332.0529</v>
      </c>
      <c r="D36" s="23" t="n">
        <f aca="false">Model!$C$20+Model!$C$19*(A36-1965)</f>
        <v>308.205868279553</v>
      </c>
      <c r="E36" s="23" t="n">
        <f aca="false">Model!$C$15+Model!$C$14*(A36-1965)</f>
        <v>292.11838057461</v>
      </c>
      <c r="F36" s="24"/>
    </row>
    <row r="37" customFormat="false" ht="15" hidden="false" customHeight="false" outlineLevel="0" collapsed="false">
      <c r="A37" s="7" t="n">
        <v>2000</v>
      </c>
      <c r="B37" s="23" t="n">
        <f aca="false">Data!E37</f>
        <v>357.266</v>
      </c>
      <c r="C37" s="23" t="n">
        <f aca="false">Data!F37</f>
        <v>340.296</v>
      </c>
      <c r="D37" s="23" t="n">
        <f aca="false">Model!$C$20+Model!$C$19*(A37-1965)</f>
        <v>310.966697308438</v>
      </c>
      <c r="E37" s="23" t="n">
        <f aca="false">Model!$C$15+Model!$C$14*(A37-1965)</f>
        <v>294.937579864038</v>
      </c>
      <c r="F37" s="24"/>
    </row>
    <row r="38" customFormat="false" ht="15" hidden="false" customHeight="false" outlineLevel="0" collapsed="false">
      <c r="A38" s="7" t="n">
        <v>2001</v>
      </c>
      <c r="B38" s="23" t="n">
        <f aca="false">Data!E38</f>
        <v>364.174</v>
      </c>
      <c r="C38" s="23" t="n">
        <f aca="false">Data!F38</f>
        <v>342.504</v>
      </c>
      <c r="D38" s="23" t="n">
        <f aca="false">Model!$C$20+Model!$C$19*(A38-1965)</f>
        <v>313.727526337322</v>
      </c>
      <c r="E38" s="23" t="n">
        <f aca="false">Model!$C$15+Model!$C$14*(A38-1965)</f>
        <v>297.756779153465</v>
      </c>
      <c r="F38" s="24"/>
    </row>
    <row r="39" customFormat="false" ht="15" hidden="false" customHeight="false" outlineLevel="0" collapsed="false">
      <c r="A39" s="7" t="n">
        <v>2002</v>
      </c>
      <c r="B39" s="23" t="n">
        <f aca="false">Data!E39</f>
        <v>366.658</v>
      </c>
      <c r="C39" s="23" t="n">
        <f aca="false">Data!F39</f>
        <v>344.109</v>
      </c>
      <c r="D39" s="23" t="n">
        <f aca="false">Model!$C$20+Model!$C$19*(A39-1965)</f>
        <v>316.488355366206</v>
      </c>
      <c r="E39" s="23" t="n">
        <f aca="false">Model!$C$15+Model!$C$14*(A39-1965)</f>
        <v>300.575978442893</v>
      </c>
      <c r="F39" s="24"/>
    </row>
    <row r="40" customFormat="false" ht="15" hidden="false" customHeight="false" outlineLevel="0" collapsed="false">
      <c r="A40" s="7" t="n">
        <v>2003</v>
      </c>
      <c r="B40" s="23" t="n">
        <f aca="false">Data!E40</f>
        <v>376.527</v>
      </c>
      <c r="C40" s="23" t="n">
        <f aca="false">Data!F40</f>
        <v>346.617</v>
      </c>
      <c r="D40" s="23" t="n">
        <f aca="false">Model!$C$20+Model!$C$19*(A40-1965)</f>
        <v>319.249184395091</v>
      </c>
      <c r="E40" s="23" t="n">
        <f aca="false">Model!$C$15+Model!$C$14*(A40-1965)</f>
        <v>303.39517773232</v>
      </c>
      <c r="F40" s="24"/>
    </row>
    <row r="41" customFormat="false" ht="15" hidden="false" customHeight="false" outlineLevel="0" collapsed="false">
      <c r="A41" s="7" t="n">
        <v>2004</v>
      </c>
      <c r="B41" s="23" t="n">
        <f aca="false">Data!E41</f>
        <v>373.399</v>
      </c>
      <c r="C41" s="23" t="n">
        <f aca="false">Data!F41</f>
        <v>347.714</v>
      </c>
      <c r="D41" s="23" t="n">
        <f aca="false">Model!$C$20+Model!$C$19*(A41-1965)</f>
        <v>322.010013423975</v>
      </c>
      <c r="E41" s="23" t="n">
        <f aca="false">Model!$C$15+Model!$C$14*(A41-1965)</f>
        <v>306.214377021748</v>
      </c>
      <c r="F41" s="24"/>
    </row>
    <row r="42" customFormat="false" ht="15" hidden="false" customHeight="false" outlineLevel="0" collapsed="false">
      <c r="A42" s="7" t="n">
        <v>2005</v>
      </c>
      <c r="B42" s="23" t="n">
        <f aca="false">Data!E42</f>
        <v>376.78</v>
      </c>
      <c r="C42" s="23" t="n">
        <f aca="false">Data!F42</f>
        <v>357.199</v>
      </c>
      <c r="D42" s="23" t="n">
        <f aca="false">Model!$C$20+Model!$C$19*(A42-1965)</f>
        <v>324.770842452859</v>
      </c>
      <c r="E42" s="23" t="n">
        <f aca="false">Model!$C$15+Model!$C$14*(A42-1965)</f>
        <v>309.033576311175</v>
      </c>
      <c r="F42" s="24"/>
    </row>
    <row r="43" customFormat="false" ht="15" hidden="false" customHeight="false" outlineLevel="0" collapsed="false">
      <c r="A43" s="7" t="n">
        <v>2006</v>
      </c>
      <c r="B43" s="23" t="n">
        <f aca="false">Data!E43</f>
        <v>373.861</v>
      </c>
      <c r="C43" s="23" t="n">
        <f aca="false">Data!F43</f>
        <v>353.863</v>
      </c>
      <c r="D43" s="23" t="n">
        <f aca="false">Model!$C$20+Model!$C$19*(A43-1965)</f>
        <v>327.531671481744</v>
      </c>
      <c r="E43" s="23" t="n">
        <f aca="false">Model!$C$15+Model!$C$14*(A43-1965)</f>
        <v>311.852775600603</v>
      </c>
      <c r="F43" s="24"/>
    </row>
    <row r="44" customFormat="false" ht="15" hidden="false" customHeight="false" outlineLevel="0" collapsed="false">
      <c r="A44" s="7" t="n">
        <v>2007</v>
      </c>
      <c r="B44" s="23" t="n">
        <f aca="false">Data!E44</f>
        <v>374.064</v>
      </c>
      <c r="C44" s="23" t="n">
        <f aca="false">Data!F44</f>
        <v>351.449</v>
      </c>
      <c r="D44" s="23" t="n">
        <f aca="false">Model!$C$20+Model!$C$19*(A44-1965)</f>
        <v>330.292500510628</v>
      </c>
      <c r="E44" s="23" t="n">
        <f aca="false">Model!$C$15+Model!$C$14*(A44-1965)</f>
        <v>314.67197489003</v>
      </c>
      <c r="F44" s="24"/>
    </row>
    <row r="45" customFormat="false" ht="15" hidden="false" customHeight="false" outlineLevel="0" collapsed="false">
      <c r="A45" s="7" t="n">
        <v>2008</v>
      </c>
      <c r="B45" s="23" t="n">
        <f aca="false">Data!E45</f>
        <v>367.18</v>
      </c>
      <c r="C45" s="23" t="n">
        <f aca="false">Data!F45</f>
        <v>349.53</v>
      </c>
      <c r="D45" s="23" t="n">
        <f aca="false">Model!$C$20+Model!$C$19*(A45-1965)</f>
        <v>333.053329539512</v>
      </c>
      <c r="E45" s="23" t="n">
        <f aca="false">Model!$C$15+Model!$C$14*(A45-1965)</f>
        <v>317.491174179458</v>
      </c>
      <c r="F45" s="24"/>
    </row>
    <row r="46" customFormat="false" ht="15" hidden="false" customHeight="false" outlineLevel="0" collapsed="false">
      <c r="A46" s="7" t="n">
        <v>2009</v>
      </c>
      <c r="B46" s="23" t="n">
        <f aca="false">Data!E46</f>
        <v>355.31</v>
      </c>
      <c r="C46" s="23" t="n">
        <f aca="false">Data!F46</f>
        <v>329.42</v>
      </c>
      <c r="D46" s="23" t="n">
        <f aca="false">Model!$C$20+Model!$C$19*(A46-1965)</f>
        <v>335.814158568396</v>
      </c>
      <c r="E46" s="23" t="n">
        <f aca="false">Model!$C$15+Model!$C$14*(A46-1965)</f>
        <v>320.310373468886</v>
      </c>
      <c r="F46" s="24"/>
    </row>
    <row r="47" customFormat="false" ht="15" hidden="false" customHeight="false" outlineLevel="0" collapsed="false">
      <c r="A47" s="7" t="n">
        <v>2010</v>
      </c>
      <c r="B47" s="23" t="n">
        <f aca="false">Data!E47</f>
        <v>361.73</v>
      </c>
      <c r="C47" s="23" t="n">
        <f aca="false">Data!F47</f>
        <v>337.51</v>
      </c>
      <c r="D47" s="23" t="n">
        <f aca="false">Model!$C$20+Model!$C$19*(A47-1965)</f>
        <v>338.574987597281</v>
      </c>
      <c r="E47" s="23" t="n">
        <f aca="false">Model!$C$15+Model!$C$14*(A47-1965)</f>
        <v>323.129572758313</v>
      </c>
      <c r="F47" s="24"/>
    </row>
    <row r="48" customFormat="false" ht="15" hidden="false" customHeight="false" outlineLevel="0" collapsed="false">
      <c r="A48" s="7" t="n">
        <v>2011</v>
      </c>
      <c r="B48" s="23" t="n">
        <f aca="false">Data!E48</f>
        <v>347.69</v>
      </c>
      <c r="C48" s="23" t="n">
        <f aca="false">Data!F48</f>
        <v>325.92</v>
      </c>
      <c r="D48" s="23" t="n">
        <f aca="false">Model!$C$20+Model!$C$19*(A48-1965)</f>
        <v>341.335816626165</v>
      </c>
      <c r="E48" s="23" t="n">
        <f aca="false">Model!$C$15+Model!$C$14*(A48-1965)</f>
        <v>325.948772047741</v>
      </c>
      <c r="F48" s="24"/>
    </row>
    <row r="49" customFormat="false" ht="15" hidden="false" customHeight="false" outlineLevel="0" collapsed="false">
      <c r="A49" s="7" t="n">
        <v>2012</v>
      </c>
      <c r="B49" s="23" t="n">
        <f aca="false">Data!E49</f>
        <v>341.91</v>
      </c>
      <c r="C49" s="23" t="n">
        <f aca="false">Data!F49</f>
        <v>325.48</v>
      </c>
      <c r="D49" s="23" t="n">
        <f aca="false">Model!$C$20+Model!$C$19*(A49-1965)</f>
        <v>344.096645655049</v>
      </c>
      <c r="E49" s="23" t="n">
        <f aca="false">Model!$C$15+Model!$C$14*(A49-1965)</f>
        <v>328.767971337168</v>
      </c>
      <c r="F49" s="24"/>
    </row>
    <row r="50" customFormat="false" ht="15" hidden="false" customHeight="false" outlineLevel="0" collapsed="false">
      <c r="A50" s="7" t="n">
        <v>2013</v>
      </c>
      <c r="B50" s="23" t="n">
        <f aca="false">Data!E50</f>
        <v>336.5</v>
      </c>
      <c r="C50" s="23" t="n">
        <f aca="false">Data!F50</f>
        <v>324.38</v>
      </c>
      <c r="D50" s="23" t="n">
        <f aca="false">Model!$C$20+Model!$C$19*(A50-1965)</f>
        <v>346.857474683934</v>
      </c>
      <c r="E50" s="23" t="n">
        <f aca="false">Model!$C$15+Model!$C$14*(A50-1965)</f>
        <v>331.587170626596</v>
      </c>
      <c r="F50" s="24"/>
    </row>
    <row r="51" customFormat="false" ht="15" hidden="false" customHeight="false" outlineLevel="0" collapsed="false">
      <c r="A51" s="7" t="n">
        <v>2014</v>
      </c>
      <c r="B51" s="23" t="n">
        <f aca="false">Data!E51</f>
        <v>317.73</v>
      </c>
      <c r="C51" s="23" t="n">
        <f aca="false">Data!F51</f>
        <v>310.8</v>
      </c>
      <c r="D51" s="23" t="n">
        <f aca="false">Model!$C$20+Model!$C$19*(A51-1965)</f>
        <v>349.618303712818</v>
      </c>
      <c r="E51" s="23" t="n">
        <f aca="false">Model!$C$15+Model!$C$14*(A51-1965)</f>
        <v>334.406369916023</v>
      </c>
      <c r="F51" s="24"/>
    </row>
    <row r="52" customFormat="false" ht="15" hidden="false" customHeight="false" outlineLevel="0" collapsed="false">
      <c r="A52" s="7" t="n">
        <v>2015</v>
      </c>
      <c r="B52" s="23" t="n">
        <f aca="false">Data!E52</f>
        <v>318.51</v>
      </c>
      <c r="C52" s="23" t="n">
        <f aca="false">Data!F52</f>
        <v>311.42</v>
      </c>
      <c r="D52" s="23" t="n">
        <f aca="false">Model!$C$20+Model!$C$19*(A52-1965)</f>
        <v>352.379132741702</v>
      </c>
      <c r="E52" s="23" t="n">
        <f aca="false">Model!$C$15+Model!$C$14*(A52-1965)</f>
        <v>337.225569205451</v>
      </c>
      <c r="F52" s="24"/>
    </row>
    <row r="53" customFormat="false" ht="15" hidden="false" customHeight="false" outlineLevel="0" collapsed="false">
      <c r="A53" s="7" t="n">
        <v>2016</v>
      </c>
      <c r="B53" s="23" t="n">
        <f aca="false">Data!E53</f>
        <v>319.88</v>
      </c>
      <c r="C53" s="23" t="n">
        <f aca="false">Data!F53</f>
        <v>311.3</v>
      </c>
      <c r="D53" s="23" t="n">
        <f aca="false">Model!$C$20+Model!$C$19*(A53-1965)</f>
        <v>355.139961770587</v>
      </c>
      <c r="E53" s="23" t="n">
        <f aca="false">Model!$C$15+Model!$C$14*(A53-1965)</f>
        <v>340.044768494878</v>
      </c>
      <c r="F53" s="24"/>
    </row>
    <row r="54" customFormat="false" ht="15" hidden="false" customHeight="false" outlineLevel="0" collapsed="false">
      <c r="A54" s="7" t="n">
        <v>2017</v>
      </c>
      <c r="B54" s="23" t="n">
        <f aca="false">Data!E54</f>
        <v>318.8679</v>
      </c>
      <c r="C54" s="23" t="n">
        <f aca="false">Data!F54</f>
        <v>306.4478</v>
      </c>
      <c r="D54" s="23" t="n">
        <f aca="false">Model!$C$20+Model!$C$19*(A54-1965)</f>
        <v>357.900790799471</v>
      </c>
      <c r="E54" s="23" t="n">
        <f aca="false">Model!$C$15+Model!$C$14*(A54-1965)</f>
        <v>342.863967784306</v>
      </c>
      <c r="F54" s="24"/>
    </row>
    <row r="55" customFormat="false" ht="15" hidden="false" customHeight="false" outlineLevel="0" collapsed="false">
      <c r="A55" s="7" t="n">
        <v>2018</v>
      </c>
      <c r="B55" s="23" t="n">
        <f aca="false">Data!E55</f>
        <v>315.1617</v>
      </c>
      <c r="C55" s="23" t="n">
        <f aca="false">Data!F55</f>
        <v>307.3475</v>
      </c>
      <c r="D55" s="23" t="n">
        <f aca="false">Model!$C$20+Model!$C$19*(A55-1965)</f>
        <v>360.661619828355</v>
      </c>
      <c r="E55" s="23" t="n">
        <f aca="false">Model!$C$15+Model!$C$14*(A55-1965)</f>
        <v>345.683167073733</v>
      </c>
      <c r="F55" s="24"/>
    </row>
    <row r="56" customFormat="false" ht="15" hidden="false" customHeight="false" outlineLevel="0" collapsed="false">
      <c r="A56" s="7" t="n">
        <v>2019</v>
      </c>
      <c r="B56" s="23" t="n">
        <f aca="false">Data!E56</f>
        <v>310.2063</v>
      </c>
      <c r="C56" s="23" t="n">
        <f aca="false">Data!F56</f>
        <v>304.1131</v>
      </c>
      <c r="D56" s="23" t="n">
        <f aca="false">Model!$C$20+Model!$C$19*(A56-1965)</f>
        <v>363.42244885724</v>
      </c>
      <c r="E56" s="23" t="n">
        <f aca="false">Model!$C$15+Model!$C$14*(A56-1965)</f>
        <v>348.502366363161</v>
      </c>
      <c r="F56" s="24"/>
    </row>
    <row r="57" customFormat="false" ht="15" hidden="false" customHeight="false" outlineLevel="0" collapsed="false">
      <c r="A57" s="7" t="n">
        <v>2020</v>
      </c>
      <c r="B57" s="23" t="n">
        <f aca="false">Data!E57</f>
        <v>296.1754</v>
      </c>
      <c r="C57" s="23" t="n">
        <f aca="false">Data!F57</f>
        <v>286.6395</v>
      </c>
      <c r="D57" s="23" t="n">
        <f aca="false">Model!$C$20+Model!$C$19*(A57-1965)</f>
        <v>366.183277886124</v>
      </c>
      <c r="E57" s="23" t="n">
        <f aca="false">Model!$C$15+Model!$C$14*(A57-1965)</f>
        <v>351.321565652589</v>
      </c>
      <c r="F57" s="24"/>
    </row>
    <row r="58" customFormat="false" ht="15" hidden="false" customHeight="false" outlineLevel="0" collapsed="false">
      <c r="A58" s="7" t="n">
        <v>2021</v>
      </c>
      <c r="B58" s="23" t="n">
        <f aca="false">Data!E58</f>
        <v>292.9727</v>
      </c>
      <c r="C58" s="23" t="n">
        <f aca="false">Data!F58</f>
        <v>290.6887</v>
      </c>
      <c r="D58" s="23" t="n">
        <f aca="false">Model!$C$20+Model!$C$19*(A58-1965)</f>
        <v>368.944106915008</v>
      </c>
      <c r="E58" s="23" t="n">
        <f aca="false">Model!$C$15+Model!$C$14*(A58-1965)</f>
        <v>354.140764942016</v>
      </c>
      <c r="F58" s="23" t="n">
        <f aca="false">Model!$C$25+Model!$C$27*(A58-Model!$C$6)</f>
        <v>368.944106915008</v>
      </c>
    </row>
    <row r="59" customFormat="false" ht="15" hidden="false" customHeight="false" outlineLevel="0" collapsed="false">
      <c r="A59" s="7" t="n">
        <v>2022</v>
      </c>
      <c r="B59" s="23" t="n">
        <f aca="false">Data!E59</f>
        <v>310.3539</v>
      </c>
      <c r="C59" s="23" t="n">
        <f aca="false">Data!F59</f>
        <v>277.9878</v>
      </c>
      <c r="D59" s="23" t="n">
        <f aca="false">Model!$C$20+Model!$C$19*(A59-1965)</f>
        <v>371.704935943892</v>
      </c>
      <c r="E59" s="23" t="n">
        <f aca="false">Model!$C$15+Model!$C$14*(A59-1965)</f>
        <v>356.959964231444</v>
      </c>
      <c r="F59" s="23" t="n">
        <f aca="false">Model!$C$25+Model!$C$27*(A59-Model!$C$6)</f>
        <v>370.984182942699</v>
      </c>
    </row>
    <row r="60" customFormat="false" ht="15" hidden="false" customHeight="false" outlineLevel="0" collapsed="false">
      <c r="A60" s="7" t="n">
        <v>2023</v>
      </c>
      <c r="B60" s="23" t="n">
        <f aca="false">Data!E60</f>
        <v>279.1759</v>
      </c>
      <c r="C60" s="23" t="n">
        <f aca="false">Data!F60</f>
        <v>274.329</v>
      </c>
      <c r="D60" s="23" t="n">
        <f aca="false">Model!$C$20+Model!$C$19*(A60-1965)</f>
        <v>374.465764972777</v>
      </c>
      <c r="E60" s="23" t="n">
        <f aca="false">Model!$C$15+Model!$C$14*(A60-1965)</f>
        <v>359.779163520871</v>
      </c>
      <c r="F60" s="23" t="n">
        <f aca="false">Model!$C$25+Model!$C$27*(A60-Model!$C$6)</f>
        <v>373.02425897039</v>
      </c>
    </row>
    <row r="61" customFormat="false" ht="15" hidden="false" customHeight="false" outlineLevel="0" collapsed="false">
      <c r="A61" s="7" t="n">
        <v>2024</v>
      </c>
      <c r="B61" s="23" t="n">
        <f aca="false">Data!E61</f>
        <v>270.8809</v>
      </c>
      <c r="C61" s="23" t="n">
        <f aca="false">Data!F61</f>
        <v>276.8221</v>
      </c>
      <c r="D61" s="23" t="n">
        <f aca="false">Model!$C$20+Model!$C$19*(A61-1965)</f>
        <v>377.226594001661</v>
      </c>
      <c r="E61" s="23" t="n">
        <f aca="false">Model!$C$15+Model!$C$14*(A61-1965)</f>
        <v>362.598362810299</v>
      </c>
      <c r="F61" s="23" t="n">
        <f aca="false">Model!$C$25+Model!$C$27*(A61-Model!$C$6)</f>
        <v>375.064334998082</v>
      </c>
    </row>
    <row r="62" customFormat="false" ht="15" hidden="false" customHeight="false" outlineLevel="0" collapsed="false">
      <c r="A62" s="7" t="n">
        <v>2025</v>
      </c>
      <c r="B62" s="23" t="n">
        <f aca="false">Data!E62</f>
        <v>278.8474</v>
      </c>
      <c r="C62" s="23" t="n">
        <f aca="false">Data!F62</f>
        <v>280.2018</v>
      </c>
      <c r="D62" s="23" t="n">
        <f aca="false">Model!$C$20+Model!$C$19*(A62-1965)</f>
        <v>379.987423030545</v>
      </c>
      <c r="E62" s="23" t="n">
        <f aca="false">Model!$C$15+Model!$C$14*(A62-1965)</f>
        <v>365.417562099726</v>
      </c>
      <c r="F62" s="23" t="n">
        <f aca="false">Model!$C$25+Model!$C$27*(A62-Model!$C$6)</f>
        <v>377.104411025773</v>
      </c>
    </row>
    <row r="63" customFormat="false" ht="15" hidden="false" customHeight="false" outlineLevel="0" collapsed="false">
      <c r="A63" s="7" t="n">
        <v>2026</v>
      </c>
      <c r="B63" s="24"/>
      <c r="C63" s="24"/>
      <c r="D63" s="23" t="n">
        <f aca="false">Model!$C$20+Model!$C$19*(A63-1965)</f>
        <v>382.74825205943</v>
      </c>
      <c r="E63" s="23" t="n">
        <f aca="false">Model!$C$15+Model!$C$14*(A63-1965)</f>
        <v>368.236761389154</v>
      </c>
      <c r="F63" s="23" t="n">
        <f aca="false">Model!$C$25+Model!$C$27*(A63-Model!$C$6)</f>
        <v>379.144487053464</v>
      </c>
    </row>
    <row r="64" customFormat="false" ht="15" hidden="false" customHeight="false" outlineLevel="0" collapsed="false">
      <c r="A64" s="7" t="n">
        <v>2027</v>
      </c>
      <c r="B64" s="24"/>
      <c r="C64" s="24"/>
      <c r="D64" s="23" t="n">
        <f aca="false">Model!$C$20+Model!$C$19*(A64-1965)</f>
        <v>385.509081088314</v>
      </c>
      <c r="E64" s="23" t="n">
        <f aca="false">Model!$C$15+Model!$C$14*(A64-1965)</f>
        <v>371.055960678581</v>
      </c>
      <c r="F64" s="23" t="n">
        <f aca="false">Model!$C$25+Model!$C$27*(A64-Model!$C$6)</f>
        <v>381.184563081155</v>
      </c>
    </row>
    <row r="65" customFormat="false" ht="15" hidden="false" customHeight="false" outlineLevel="0" collapsed="false">
      <c r="A65" s="7" t="n">
        <v>2028</v>
      </c>
      <c r="B65" s="24"/>
      <c r="C65" s="24"/>
      <c r="D65" s="23" t="n">
        <f aca="false">Model!$C$20+Model!$C$19*(A65-1965)</f>
        <v>388.269910117198</v>
      </c>
      <c r="E65" s="23" t="n">
        <f aca="false">Model!$C$15+Model!$C$14*(A65-1965)</f>
        <v>373.875159968009</v>
      </c>
      <c r="F65" s="23" t="n">
        <f aca="false">Model!$C$25+Model!$C$27*(A65-Model!$C$6)</f>
        <v>383.224639108846</v>
      </c>
    </row>
    <row r="66" customFormat="false" ht="15" hidden="false" customHeight="false" outlineLevel="0" collapsed="false">
      <c r="A66" s="7" t="n">
        <v>2029</v>
      </c>
      <c r="B66" s="24"/>
      <c r="C66" s="24"/>
      <c r="D66" s="23" t="n">
        <f aca="false">Model!$C$20+Model!$C$19*(A66-1965)</f>
        <v>391.030739146083</v>
      </c>
      <c r="E66" s="23" t="n">
        <f aca="false">Model!$C$15+Model!$C$14*(A66-1965)</f>
        <v>376.694359257436</v>
      </c>
      <c r="F66" s="23" t="n">
        <f aca="false">Model!$C$25+Model!$C$27*(A66-Model!$C$6)</f>
        <v>385.264715136537</v>
      </c>
    </row>
    <row r="67" customFormat="false" ht="15" hidden="false" customHeight="false" outlineLevel="0" collapsed="false">
      <c r="A67" s="7" t="n">
        <v>2030</v>
      </c>
      <c r="B67" s="24"/>
      <c r="C67" s="24"/>
      <c r="D67" s="23" t="n">
        <f aca="false">Model!$C$20+Model!$C$19*(A67-1965)</f>
        <v>393.791568174967</v>
      </c>
      <c r="E67" s="23" t="n">
        <f aca="false">Model!$C$15+Model!$C$14*(A67-1965)</f>
        <v>379.513558546864</v>
      </c>
      <c r="F67" s="23" t="n">
        <f aca="false">Model!$C$25+Model!$C$27*(A67-Model!$C$6)</f>
        <v>387.304791164228</v>
      </c>
    </row>
    <row r="68" customFormat="false" ht="15" hidden="false" customHeight="false" outlineLevel="0" collapsed="false">
      <c r="A68" s="7" t="n">
        <v>2031</v>
      </c>
      <c r="B68" s="24"/>
      <c r="C68" s="24"/>
      <c r="D68" s="23" t="n">
        <f aca="false">Model!$C$20+Model!$C$19*(A68-1965)</f>
        <v>396.552397203851</v>
      </c>
      <c r="E68" s="23" t="n">
        <f aca="false">Model!$C$15+Model!$C$14*(A68-1965)</f>
        <v>382.332757836292</v>
      </c>
      <c r="F68" s="23" t="n">
        <f aca="false">Model!$C$25+Model!$C$27*(A68-Model!$C$6)</f>
        <v>389.344867191919</v>
      </c>
    </row>
    <row r="69" customFormat="false" ht="15" hidden="false" customHeight="false" outlineLevel="0" collapsed="false">
      <c r="A69" s="7" t="n">
        <v>2032</v>
      </c>
      <c r="B69" s="24"/>
      <c r="C69" s="24"/>
      <c r="D69" s="23" t="n">
        <f aca="false">Model!$C$20+Model!$C$19*(A69-1965)</f>
        <v>399.313226232736</v>
      </c>
      <c r="E69" s="23" t="n">
        <f aca="false">Model!$C$15+Model!$C$14*(A69-1965)</f>
        <v>385.151957125719</v>
      </c>
      <c r="F69" s="23" t="n">
        <f aca="false">Model!$C$25+Model!$C$27*(A69-Model!$C$6)</f>
        <v>391.38494321961</v>
      </c>
    </row>
    <row r="70" customFormat="false" ht="15" hidden="false" customHeight="false" outlineLevel="0" collapsed="false">
      <c r="A70" s="7" t="n">
        <v>2033</v>
      </c>
      <c r="B70" s="24"/>
      <c r="C70" s="24"/>
      <c r="D70" s="23" t="n">
        <f aca="false">Model!$C$20+Model!$C$19*(A70-1965)</f>
        <v>402.07405526162</v>
      </c>
      <c r="E70" s="23" t="n">
        <f aca="false">Model!$C$15+Model!$C$14*(A70-1965)</f>
        <v>387.971156415147</v>
      </c>
      <c r="F70" s="23" t="n">
        <f aca="false">Model!$C$25+Model!$C$27*(A70-Model!$C$6)</f>
        <v>393.425019247302</v>
      </c>
    </row>
    <row r="71" customFormat="false" ht="15" hidden="false" customHeight="false" outlineLevel="0" collapsed="false">
      <c r="A71" s="7" t="n">
        <v>2034</v>
      </c>
      <c r="B71" s="24"/>
      <c r="C71" s="24"/>
      <c r="D71" s="23" t="n">
        <f aca="false">Model!$C$20+Model!$C$19*(A71-1965)</f>
        <v>404.834884290504</v>
      </c>
      <c r="E71" s="23" t="n">
        <f aca="false">Model!$C$15+Model!$C$14*(A71-1965)</f>
        <v>390.790355704574</v>
      </c>
      <c r="F71" s="23" t="n">
        <f aca="false">Model!$C$25+Model!$C$27*(A71-Model!$C$6)</f>
        <v>395.465095274993</v>
      </c>
    </row>
    <row r="72" customFormat="false" ht="15" hidden="false" customHeight="false" outlineLevel="0" collapsed="false">
      <c r="A72" s="7" t="n">
        <v>2035</v>
      </c>
      <c r="B72" s="24"/>
      <c r="C72" s="24"/>
      <c r="D72" s="23" t="n">
        <f aca="false">Model!$C$20+Model!$C$19*(A72-1965)</f>
        <v>407.595713319389</v>
      </c>
      <c r="E72" s="23" t="n">
        <f aca="false">Model!$C$15+Model!$C$14*(A72-1965)</f>
        <v>393.609554994002</v>
      </c>
      <c r="F72" s="23" t="n">
        <f aca="false">Model!$C$25+Model!$C$27*(A72-Model!$C$6)</f>
        <v>397.505171302684</v>
      </c>
    </row>
    <row r="73" customFormat="false" ht="15" hidden="false" customHeight="false" outlineLevel="0" collapsed="false">
      <c r="A73" s="7" t="n">
        <v>2036</v>
      </c>
      <c r="B73" s="24"/>
      <c r="C73" s="24"/>
      <c r="D73" s="23" t="n">
        <f aca="false">Model!$C$20+Model!$C$19*(A73-1965)</f>
        <v>410.356542348273</v>
      </c>
      <c r="E73" s="23" t="n">
        <f aca="false">Model!$C$15+Model!$C$14*(A73-1965)</f>
        <v>396.428754283429</v>
      </c>
      <c r="F73" s="23" t="n">
        <f aca="false">Model!$C$25+Model!$C$27*(A73-Model!$C$6)</f>
        <v>399.545247330375</v>
      </c>
    </row>
    <row r="74" customFormat="false" ht="15" hidden="false" customHeight="false" outlineLevel="0" collapsed="false">
      <c r="A74" s="7" t="n">
        <v>2037</v>
      </c>
      <c r="B74" s="24"/>
      <c r="C74" s="24"/>
      <c r="D74" s="23" t="n">
        <f aca="false">Model!$C$20+Model!$C$19*(A74-1965)</f>
        <v>413.117371377157</v>
      </c>
      <c r="E74" s="23" t="n">
        <f aca="false">Model!$C$15+Model!$C$14*(A74-1965)</f>
        <v>399.247953572857</v>
      </c>
      <c r="F74" s="23" t="n">
        <f aca="false">Model!$C$25+Model!$C$27*(A74-Model!$C$6)</f>
        <v>401.585323358066</v>
      </c>
    </row>
    <row r="75" customFormat="false" ht="15" hidden="false" customHeight="false" outlineLevel="0" collapsed="false">
      <c r="A75" s="7" t="n">
        <v>2038</v>
      </c>
      <c r="B75" s="24"/>
      <c r="C75" s="24"/>
      <c r="D75" s="23" t="n">
        <f aca="false">Model!$C$20+Model!$C$19*(A75-1965)</f>
        <v>415.878200406041</v>
      </c>
      <c r="E75" s="23" t="n">
        <f aca="false">Model!$C$15+Model!$C$14*(A75-1965)</f>
        <v>402.067152862284</v>
      </c>
      <c r="F75" s="23" t="n">
        <f aca="false">Model!$C$25+Model!$C$27*(A75-Model!$C$6)</f>
        <v>403.625399385757</v>
      </c>
    </row>
    <row r="76" customFormat="false" ht="15" hidden="false" customHeight="false" outlineLevel="0" collapsed="false">
      <c r="A76" s="7" t="n">
        <v>2039</v>
      </c>
      <c r="B76" s="24"/>
      <c r="C76" s="24"/>
      <c r="D76" s="23" t="n">
        <f aca="false">Model!$C$20+Model!$C$19*(A76-1965)</f>
        <v>418.639029434926</v>
      </c>
      <c r="E76" s="23" t="n">
        <f aca="false">Model!$C$15+Model!$C$14*(A76-1965)</f>
        <v>404.886352151712</v>
      </c>
      <c r="F76" s="23" t="n">
        <f aca="false">Model!$C$25+Model!$C$27*(A76-Model!$C$6)</f>
        <v>405.665475413448</v>
      </c>
    </row>
    <row r="77" customFormat="false" ht="15" hidden="false" customHeight="false" outlineLevel="0" collapsed="false">
      <c r="A77" s="7" t="n">
        <v>2040</v>
      </c>
      <c r="B77" s="24"/>
      <c r="C77" s="24"/>
      <c r="D77" s="23" t="n">
        <f aca="false">Model!$C$20+Model!$C$19*(A77-1965)</f>
        <v>421.39985846381</v>
      </c>
      <c r="E77" s="23" t="n">
        <f aca="false">Model!$C$15+Model!$C$14*(A77-1965)</f>
        <v>407.705551441139</v>
      </c>
      <c r="F77" s="23" t="n">
        <f aca="false">Model!$C$25+Model!$C$27*(A77-Model!$C$6)</f>
        <v>407.705551441139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2026-10-14T19:42:18Z</dcterms:created>
  <dc:creator>openpyxl</dc:creator>
  <dc:description/>
  <dc:language>en-US</dc:language>
  <cp:lastModifiedBy/>
  <dcterms:modified xsi:type="dcterms:W3CDTF">2026-10-14T20:42:21Z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